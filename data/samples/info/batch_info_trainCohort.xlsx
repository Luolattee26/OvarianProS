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E:\ZCC\卵巢癌蛋白质组学数据\"/>
    </mc:Choice>
  </mc:AlternateContent>
  <xr:revisionPtr revIDLastSave="0" documentId="13_ncr:1_{C8BC3911-6DCB-49E7-9B76-94C97117C10A}" xr6:coauthVersionLast="47" xr6:coauthVersionMax="47" xr10:uidLastSave="{00000000-0000-0000-0000-000000000000}"/>
  <bookViews>
    <workbookView xWindow="12750" yWindow="3165" windowWidth="28800" windowHeight="15435" activeTab="6" xr2:uid="{00000000-000D-0000-FFFF-FFFF00000000}"/>
  </bookViews>
  <sheets>
    <sheet name="癌" sheetId="1" r:id="rId1"/>
    <sheet name="训练集亚型" sheetId="5" r:id="rId2"/>
    <sheet name="囊肿" sheetId="2" r:id="rId3"/>
    <sheet name="健康" sheetId="3" r:id="rId4"/>
    <sheet name="all" sheetId="4" r:id="rId5"/>
    <sheet name="batch_design" sheetId="6" r:id="rId6"/>
    <sheet name="机器学习" sheetId="7" r:id="rId7"/>
  </sheets>
  <externalReferences>
    <externalReference r:id="rId8"/>
  </externalReferences>
  <definedNames>
    <definedName name="_xlnm._FilterDatabase" localSheetId="2" hidden="1">囊肿!$A$1:$A$131</definedName>
    <definedName name="_xlnm._FilterDatabase" localSheetId="1" hidden="1">训练集亚型!$A$1:$A$115</definedName>
    <definedName name="_xlnm.Print_Area" localSheetId="5">batch_design!$J$1:$M$322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4" l="1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I64" i="1"/>
  <c r="I85" i="1"/>
  <c r="I63" i="1"/>
  <c r="I62" i="1"/>
  <c r="I61" i="1"/>
  <c r="I60" i="1"/>
  <c r="I69" i="1"/>
  <c r="I59" i="1"/>
  <c r="I58" i="1"/>
  <c r="I57" i="1"/>
  <c r="I68" i="1"/>
  <c r="I56" i="1"/>
  <c r="I55" i="1"/>
  <c r="I84" i="1"/>
  <c r="I54" i="1"/>
  <c r="I53" i="1"/>
  <c r="I52" i="1"/>
  <c r="I51" i="1"/>
  <c r="I50" i="1"/>
  <c r="I49" i="1"/>
  <c r="I48" i="1"/>
  <c r="I97" i="1"/>
  <c r="I47" i="1"/>
  <c r="I83" i="1"/>
  <c r="I96" i="1"/>
  <c r="I95" i="1"/>
  <c r="I46" i="1"/>
  <c r="I67" i="1"/>
  <c r="I82" i="1"/>
  <c r="I45" i="1"/>
  <c r="I44" i="1"/>
  <c r="I43" i="1"/>
  <c r="I42" i="1"/>
  <c r="I41" i="1"/>
  <c r="I40" i="1"/>
  <c r="I66" i="1"/>
  <c r="I39" i="1"/>
  <c r="I72" i="1"/>
  <c r="I38" i="1"/>
  <c r="I37" i="1"/>
  <c r="I90" i="1"/>
  <c r="I36" i="1"/>
  <c r="I89" i="1"/>
  <c r="I71" i="1"/>
  <c r="I35" i="1"/>
  <c r="I34" i="1"/>
  <c r="I33" i="1"/>
  <c r="I32" i="1"/>
  <c r="I76" i="1"/>
  <c r="I31" i="1"/>
  <c r="I75" i="1"/>
  <c r="I30" i="1"/>
  <c r="I94" i="1"/>
  <c r="I81" i="1"/>
  <c r="I29" i="1"/>
  <c r="I28" i="1"/>
  <c r="I88" i="1"/>
  <c r="I77" i="1"/>
  <c r="I27" i="1"/>
  <c r="I80" i="1"/>
  <c r="I26" i="1"/>
  <c r="I25" i="1"/>
  <c r="I87" i="1"/>
  <c r="I24" i="1"/>
  <c r="I79" i="1"/>
  <c r="I93" i="1"/>
  <c r="I23" i="1"/>
  <c r="I91" i="1"/>
  <c r="I74" i="1"/>
  <c r="I22" i="1"/>
  <c r="I70" i="1"/>
  <c r="I65" i="1"/>
  <c r="I92" i="1"/>
  <c r="I21" i="1"/>
  <c r="I20" i="1"/>
  <c r="I19" i="1"/>
  <c r="I18" i="1"/>
  <c r="I17" i="1"/>
  <c r="I16" i="1"/>
  <c r="I15" i="1"/>
  <c r="I14" i="1"/>
  <c r="I13" i="1"/>
  <c r="I73" i="1"/>
  <c r="I12" i="1"/>
  <c r="I11" i="1"/>
  <c r="I10" i="1"/>
  <c r="I9" i="1"/>
  <c r="I8" i="1"/>
  <c r="I78" i="1"/>
  <c r="I7" i="1"/>
  <c r="I6" i="1"/>
  <c r="I86" i="1"/>
  <c r="I5" i="1"/>
  <c r="I4" i="1"/>
  <c r="I3" i="1"/>
  <c r="I2" i="1"/>
</calcChain>
</file>

<file path=xl/sharedStrings.xml><?xml version="1.0" encoding="utf-8"?>
<sst xmlns="http://schemas.openxmlformats.org/spreadsheetml/2006/main" count="7109" uniqueCount="1779">
  <si>
    <t>姓名</t>
  </si>
  <si>
    <t>年龄</t>
  </si>
  <si>
    <t>病理</t>
  </si>
  <si>
    <t>编号</t>
  </si>
  <si>
    <t>编号2</t>
  </si>
  <si>
    <t>sampleID</t>
  </si>
  <si>
    <t>type</t>
  </si>
  <si>
    <t>王阿素</t>
  </si>
  <si>
    <t>高级别浆液性癌IIIc期</t>
  </si>
  <si>
    <t>B51</t>
  </si>
  <si>
    <t>P1</t>
  </si>
  <si>
    <t>ov1</t>
  </si>
  <si>
    <t>徐燕萍</t>
  </si>
  <si>
    <t>高级别浆液性癌IIIb期</t>
  </si>
  <si>
    <t>B2</t>
  </si>
  <si>
    <t>P2</t>
  </si>
  <si>
    <t>ov2</t>
  </si>
  <si>
    <t>周明莉</t>
  </si>
  <si>
    <t>高级别浆液性癌，复发</t>
  </si>
  <si>
    <t>B12</t>
  </si>
  <si>
    <t>P3</t>
  </si>
  <si>
    <t>ov3</t>
  </si>
  <si>
    <t>张东荣</t>
  </si>
  <si>
    <t>B3</t>
  </si>
  <si>
    <t>P4</t>
  </si>
  <si>
    <t>ov4</t>
  </si>
  <si>
    <t>金雨蒙</t>
  </si>
  <si>
    <t>无性细胞瘤Ia</t>
  </si>
  <si>
    <t>B5</t>
  </si>
  <si>
    <t>P5</t>
  </si>
  <si>
    <t>ov5</t>
  </si>
  <si>
    <t>褚利英</t>
  </si>
  <si>
    <t>右卵巢交界性浆液性肿瘤IIIA 胆囊炎</t>
  </si>
  <si>
    <t>P6</t>
  </si>
  <si>
    <t>ov6</t>
  </si>
  <si>
    <t>韩玉凤</t>
  </si>
  <si>
    <t>P7</t>
  </si>
  <si>
    <t>ov7</t>
  </si>
  <si>
    <t>孔彩香</t>
  </si>
  <si>
    <t>B8</t>
  </si>
  <si>
    <t>P9</t>
  </si>
  <si>
    <t>ov8</t>
  </si>
  <si>
    <t>宋慧芝</t>
  </si>
  <si>
    <t>左卵巢透明细胞癌IIB</t>
  </si>
  <si>
    <t>B7</t>
  </si>
  <si>
    <t>P11</t>
  </si>
  <si>
    <t>ov9</t>
  </si>
  <si>
    <t>陈菊华</t>
  </si>
  <si>
    <t>高级别浆液性癌IIIA</t>
  </si>
  <si>
    <t>B15</t>
  </si>
  <si>
    <t>P12</t>
  </si>
  <si>
    <t>ov10</t>
  </si>
  <si>
    <t>刘民族</t>
  </si>
  <si>
    <t>低级别合并高级别浆液性癌IIIA1</t>
  </si>
  <si>
    <t>B18</t>
  </si>
  <si>
    <t>P13</t>
  </si>
  <si>
    <t>ov11</t>
  </si>
  <si>
    <t>王妙芬</t>
  </si>
  <si>
    <t>高级别浆液性癌IV期</t>
  </si>
  <si>
    <t>B20</t>
  </si>
  <si>
    <t>P14</t>
  </si>
  <si>
    <t>ov12</t>
  </si>
  <si>
    <t>吴明英</t>
  </si>
  <si>
    <t>卵巢高级别浆液性癌IIIC期，G3</t>
  </si>
  <si>
    <t>B55</t>
  </si>
  <si>
    <t>P15</t>
  </si>
  <si>
    <t>ov13</t>
  </si>
  <si>
    <t>叶慧</t>
  </si>
  <si>
    <t>双侧卵巢交界性浆液性肿瘤IIIA1（i）期，宫颈息肉，宫内节育器（已取出），肠粘连，肝功能异常，乙肝表面抗原携带者，轻度贫血，疤痕子宫</t>
  </si>
  <si>
    <t>B23</t>
  </si>
  <si>
    <t>P16</t>
  </si>
  <si>
    <t>ov14</t>
  </si>
  <si>
    <t>曾琴妹</t>
  </si>
  <si>
    <t>卵巢恶性肿瘤IIb期（高级别浆液性癌）（G3），肠粘连</t>
  </si>
  <si>
    <t>B21</t>
  </si>
  <si>
    <t>P17</t>
  </si>
  <si>
    <t>ov15</t>
  </si>
  <si>
    <t>王美兰</t>
  </si>
  <si>
    <t>卵巢恶性肿瘤（卵巢低级别浆液性癌IIIc期），子宫腺肌病，子宫多发肌瘤，盆腔包裹性积液，肠粘连，乙肝表面抗原携带者</t>
  </si>
  <si>
    <t>B13</t>
  </si>
  <si>
    <t>P18</t>
  </si>
  <si>
    <t>ov16</t>
  </si>
  <si>
    <t>潘珠凤</t>
  </si>
  <si>
    <t>晚期卵巢浆液性恶性肿瘤（新辅助化疗后），高血压病，胆囊结石，肠粘连</t>
  </si>
  <si>
    <t>B45</t>
  </si>
  <si>
    <t>P19</t>
  </si>
  <si>
    <t>ov17</t>
  </si>
  <si>
    <t>俞一莉</t>
  </si>
  <si>
    <t>双侧卵巢恶性肿瘤（高级别浆液性癌）IIB期，子宫多发性平滑肌瘤，盆腔肿块（纤维脂肪组织），支气管哮喘，真菌性阴道炎（已治愈），中度贫血，尿潴留</t>
  </si>
  <si>
    <t>B67</t>
  </si>
  <si>
    <t>P20</t>
  </si>
  <si>
    <t>ov18</t>
  </si>
  <si>
    <t>蓝惠仙</t>
  </si>
  <si>
    <t>卵巢恶性肿瘤IIIC期（浆液性癌G3），中度贫血，肠粘连，子宫肌瘤，疤痕子宫，肝功能异常（已治愈）</t>
  </si>
  <si>
    <t>B68</t>
  </si>
  <si>
    <t>P21</t>
  </si>
  <si>
    <t>ov19</t>
  </si>
  <si>
    <t>胡夏娅</t>
  </si>
  <si>
    <t>卵巢恶性肿瘤（高级别浆液性癌IIIC期）术后复发，肠粘连，轻度贫血，甲状腺癌切除个人史</t>
  </si>
  <si>
    <t>B85</t>
  </si>
  <si>
    <t>P22</t>
  </si>
  <si>
    <t>ov20</t>
  </si>
  <si>
    <t>周亚君</t>
  </si>
  <si>
    <t>卵巢恶性肿瘤（浆液性癌IIIC期），肠粘连，轻度贫血</t>
  </si>
  <si>
    <t>B69</t>
  </si>
  <si>
    <t>P23</t>
  </si>
  <si>
    <t>ov21</t>
  </si>
  <si>
    <t>潘微明</t>
  </si>
  <si>
    <t>双卵巢恶性肿瘤（高级别浆液性癌）IIIC期，子宫多发性平滑肌瘤（其一为宫颈肌瘤），肠粘连，输尿管周围粘连，轻度贫血</t>
  </si>
  <si>
    <t>B76</t>
  </si>
  <si>
    <t>P24</t>
  </si>
  <si>
    <t>ov22</t>
  </si>
  <si>
    <t>张珍</t>
  </si>
  <si>
    <t>卵巢高级别浆液性癌IIIC</t>
  </si>
  <si>
    <t>P25</t>
  </si>
  <si>
    <t>ov23</t>
  </si>
  <si>
    <t>吕彩芹</t>
  </si>
  <si>
    <t>右卵巢恶性肿瘤IIIC期</t>
  </si>
  <si>
    <t>P26</t>
  </si>
  <si>
    <t>ov24</t>
  </si>
  <si>
    <t>周小珍</t>
  </si>
  <si>
    <t>双卵巢高级别浆液性癌IIIc期，CINIII</t>
  </si>
  <si>
    <t>P27</t>
  </si>
  <si>
    <t>ov25</t>
  </si>
  <si>
    <t>胡华</t>
  </si>
  <si>
    <t>卵巢恶性肿瘤复发（子宫内膜样腺癌I级）卵巢恶性肿瘤（卵巢子宫内膜样腺癌IIIB期G1)术后</t>
  </si>
  <si>
    <t>P28</t>
  </si>
  <si>
    <t>ov26</t>
  </si>
  <si>
    <t>姜如香</t>
  </si>
  <si>
    <t>左输卵管高级别浆液性癌IIIC</t>
  </si>
  <si>
    <t>P29</t>
  </si>
  <si>
    <t>ov27</t>
  </si>
  <si>
    <t>王璐莹</t>
  </si>
  <si>
    <t>右卵巢混合性生殖细胞肿瘤IC1期（卵黄囊瘤+成熟性畸胎瘤）</t>
  </si>
  <si>
    <t>B58</t>
  </si>
  <si>
    <t>ov28</t>
  </si>
  <si>
    <t>李莲燕</t>
  </si>
  <si>
    <t>交界性黏液性癌IC</t>
  </si>
  <si>
    <t>B42</t>
  </si>
  <si>
    <t>ov29</t>
  </si>
  <si>
    <t>严瑶芬</t>
  </si>
  <si>
    <t>浆液性腺癌IV晚期，远处大量转移，未手术</t>
  </si>
  <si>
    <t>B47</t>
  </si>
  <si>
    <t>ov30</t>
  </si>
  <si>
    <t>冯蕾</t>
  </si>
  <si>
    <t>浆液性癌IC</t>
  </si>
  <si>
    <t>B48</t>
  </si>
  <si>
    <t>ov31</t>
  </si>
  <si>
    <t>张倩倩</t>
  </si>
  <si>
    <t>双侧卵巢交界性浆液性肿瘤IIB期，多囊卵巢综合症</t>
  </si>
  <si>
    <t>B121</t>
  </si>
  <si>
    <t>ov32</t>
  </si>
  <si>
    <t>郎盼盼</t>
  </si>
  <si>
    <t>右卵巢交界性粘液性囊腺瘤IC1期</t>
  </si>
  <si>
    <t>B24</t>
  </si>
  <si>
    <t>ov33</t>
  </si>
  <si>
    <t>董洁</t>
  </si>
  <si>
    <t>耐药难治性卵巢恶性生殖细胞肿瘤IV期（卵黄囊瘤）（肿瘤未控），乙状结肠造口术后状态，化疗后骨髓抑制</t>
  </si>
  <si>
    <t>B25</t>
  </si>
  <si>
    <t>ov34</t>
  </si>
  <si>
    <t>张红琴</t>
  </si>
  <si>
    <t>卵巢恶性肿瘤（卵巢高级别浆液性癌IIIc期）术后</t>
  </si>
  <si>
    <t>B26</t>
  </si>
  <si>
    <t>ov35</t>
  </si>
  <si>
    <t>严海燕</t>
  </si>
  <si>
    <t>卵巢恶性肿瘤（子宫内膜样腺癌）ⅠC1期G1术后，中度贫血</t>
  </si>
  <si>
    <t>B27</t>
  </si>
  <si>
    <t>ov36</t>
  </si>
  <si>
    <t>施淑蕉</t>
  </si>
  <si>
    <t>卵巢恶性肿瘤Ia期(右卵巢透明细胞癌)，预激综合征(射频消融术后)，肠粘连，肾结石</t>
  </si>
  <si>
    <t>B28</t>
  </si>
  <si>
    <t>ov37</t>
  </si>
  <si>
    <t>瞿春红</t>
  </si>
  <si>
    <t>复发性卵巢恶性肿瘤，卵巢恶性肿瘤（高级别浆液性腺癌IIIc期）术后，乳腺癌术后，轻度贫血</t>
  </si>
  <si>
    <t>B29</t>
  </si>
  <si>
    <t>ov38</t>
  </si>
  <si>
    <t>吴琴芳</t>
  </si>
  <si>
    <t>卵巢卵泡膜细胞-颗粒细胞瘤IA期</t>
  </si>
  <si>
    <t>B30</t>
  </si>
  <si>
    <t>ov39</t>
  </si>
  <si>
    <t>俞美群</t>
  </si>
  <si>
    <t>卵巢恶性肿瘤（高级别浆液性癌）IV期，腹壁肿物（纤维组织伴钙化），肠粘连</t>
  </si>
  <si>
    <t>B31</t>
  </si>
  <si>
    <t>ov40</t>
  </si>
  <si>
    <t>沈玲飞</t>
  </si>
  <si>
    <t>高级别浆液性腺癌Iic期</t>
  </si>
  <si>
    <t>B32</t>
  </si>
  <si>
    <t>ov41</t>
  </si>
  <si>
    <t>陈冬花</t>
  </si>
  <si>
    <t>左卵巢交界性黏液性肿瘤IC期</t>
  </si>
  <si>
    <t>B34</t>
  </si>
  <si>
    <t>ov42</t>
  </si>
  <si>
    <t>陈丹丹</t>
  </si>
  <si>
    <t>透明细胞癌Ic2</t>
  </si>
  <si>
    <t>B57</t>
  </si>
  <si>
    <t>ov43</t>
  </si>
  <si>
    <t>董英娣</t>
  </si>
  <si>
    <t>卵巢恶性肿瘤IIA（高级别浆液性癌）术后化疗，轻度贫血</t>
  </si>
  <si>
    <t>B59</t>
  </si>
  <si>
    <t>ov44</t>
  </si>
  <si>
    <t>夏春珍</t>
  </si>
  <si>
    <t>左卵巢交界性黏液性肿瘤IA期</t>
  </si>
  <si>
    <t>B60</t>
  </si>
  <si>
    <t>ov45</t>
  </si>
  <si>
    <t>王洁</t>
  </si>
  <si>
    <t>复发性右侧卵巢未成熟畸胎瘤术后 (M90800/0)，先天性输尿管畸形，左侧重复肾盂</t>
  </si>
  <si>
    <t>B61</t>
  </si>
  <si>
    <t>ov46</t>
  </si>
  <si>
    <t>黄爱娣</t>
  </si>
  <si>
    <t>右卵巢颗粒细胞瘤IA期</t>
  </si>
  <si>
    <t>B62</t>
  </si>
  <si>
    <t>ov47</t>
  </si>
  <si>
    <t>任爱珍</t>
  </si>
  <si>
    <t>双侧卵巢输卵管恶性肿瘤IIIC期（G3）术后化疗</t>
  </si>
  <si>
    <t>B63</t>
  </si>
  <si>
    <t>ov48</t>
  </si>
  <si>
    <t>卓美玲</t>
  </si>
  <si>
    <t>卵巢恶性肿瘤（右侧卵巢高级别浆液性癌ⅢC期），子宫切除术后状态（次切术后），肝脏多发囊肿</t>
  </si>
  <si>
    <t>B64</t>
  </si>
  <si>
    <t>ov49</t>
  </si>
  <si>
    <t>姚飞燕</t>
  </si>
  <si>
    <t>复发性卵巢交界性浆粘液性肿瘤，右侧卵巢子宫内膜异位囊肿，右侧输尿管周围粘连，子宫平滑肌瘤，盆腔肿块（纤维脂肪组织、纤维血管组织），肠粘连，疤痕子宫，轻度贫血</t>
  </si>
  <si>
    <t>B66</t>
  </si>
  <si>
    <t>ov50</t>
  </si>
  <si>
    <t>陈诺</t>
  </si>
  <si>
    <t>左侧卵巢交界性粘液性囊腺瘤IC1期，肠粘连，右肾积水，中度贫血，上呼吸道感染</t>
  </si>
  <si>
    <t>B70</t>
  </si>
  <si>
    <t>ov51</t>
  </si>
  <si>
    <t>陈宇华</t>
  </si>
  <si>
    <t>卵巢恶性肿瘤IC1期（右卵巢透明细胞癌）术后化疗，药物性血小板减少症，药物性粒细胞减少，肝功能异常，肺大泡</t>
  </si>
  <si>
    <t>B71</t>
  </si>
  <si>
    <t>ov52</t>
  </si>
  <si>
    <t>陈晔兰</t>
  </si>
  <si>
    <t>右卵巢恶性肿瘤(子宫内膜样癌)IC2期（G2级），药物性粒细胞减少，药物性血小板减少症</t>
  </si>
  <si>
    <t>B72</t>
  </si>
  <si>
    <t>ov53</t>
  </si>
  <si>
    <t>陈彩娥</t>
  </si>
  <si>
    <t>复发性卵巢恶性肿瘤，卵巢浆液性腺癌IIIC期术后，肠粘连，药物性肝损害</t>
  </si>
  <si>
    <t>B73</t>
  </si>
  <si>
    <t>ov54</t>
  </si>
  <si>
    <t>陈莹</t>
  </si>
  <si>
    <t>右卵巢恶性肿瘤I期（低级别浆液性癌），左卵巢黄体囊肿，左输卵管系膜囊肿，高血压病，肠粘连</t>
  </si>
  <si>
    <t>B74</t>
  </si>
  <si>
    <t>ov55</t>
  </si>
  <si>
    <t>周丽丽</t>
  </si>
  <si>
    <t>双卵巢恶性肿瘤（高级别浆液性癌）IIIC期，子宫腺肌病，肠粘连，输尿管周围粘连，肝功能异常</t>
  </si>
  <si>
    <t>B75</t>
  </si>
  <si>
    <t>ov56</t>
  </si>
  <si>
    <t>丁长英</t>
  </si>
  <si>
    <t>卵巢恶性肿瘤（低级别浆液性癌）IIIC期，肠粘连，轻度贫血</t>
  </si>
  <si>
    <t>B78</t>
  </si>
  <si>
    <t>ov57</t>
  </si>
  <si>
    <t>马桂贞</t>
  </si>
  <si>
    <t>左侧卵巢高级别浆液性癌IIIC期（G3），慢性肾盂肾炎，轻度贫血</t>
  </si>
  <si>
    <t>B79</t>
  </si>
  <si>
    <t>ov58</t>
  </si>
  <si>
    <t>戴瑞娟</t>
  </si>
  <si>
    <t>右卵巢交界性黏液性囊腺瘤IA期</t>
  </si>
  <si>
    <t>B80</t>
  </si>
  <si>
    <t>ov59</t>
  </si>
  <si>
    <t>李月青</t>
  </si>
  <si>
    <t>卵巢恶性肿瘤IIIC期（高级别浆液性癌，局部透明细胞癌），高血压，胸腔积液，肠粘连，中度贫血</t>
  </si>
  <si>
    <t>B81</t>
  </si>
  <si>
    <t>ov60</t>
  </si>
  <si>
    <t>洪雅娟</t>
  </si>
  <si>
    <t>右卵巢交界性粘液性囊腺瘤IA期，左侧输卵管苗勒囊肿，子宫颈息肉，肠粘连，轻度贫血</t>
  </si>
  <si>
    <t>B82</t>
  </si>
  <si>
    <t>ov61</t>
  </si>
  <si>
    <t>李建香</t>
  </si>
  <si>
    <t>卵巢浆液性恶性肿瘤IIIC(G3)期术后，复发？。心律失常：频发房性早搏</t>
  </si>
  <si>
    <t>B83</t>
  </si>
  <si>
    <t>ov62</t>
  </si>
  <si>
    <t>娄幼琴</t>
  </si>
  <si>
    <t>卵巢浆液性恶性肿瘤IIIC期，肠粘连</t>
  </si>
  <si>
    <t>B84</t>
  </si>
  <si>
    <t>ov63</t>
  </si>
  <si>
    <t>董金囡</t>
  </si>
  <si>
    <t>高级别混合性癌IIIA期，子宫平滑肌瘤，肠粘连，腹壁肿物（增生脂肪组织），中度贫血</t>
  </si>
  <si>
    <t>B86</t>
  </si>
  <si>
    <t>ov64</t>
  </si>
  <si>
    <t>袁春梅</t>
  </si>
  <si>
    <t>左卵巢颗粒细胞瘤IA1期，肠粘连，阴道前壁脱垂III期，阴道后壁脱垂I期，子宫切除术后阴道穹隆脱垂I期，陈旧性会阴裂伤I度，轻度贫血</t>
  </si>
  <si>
    <t>B87</t>
  </si>
  <si>
    <t>ov65</t>
  </si>
  <si>
    <t>郭凤莲</t>
  </si>
  <si>
    <t>双侧卵巢高级别浆液性恶性肿瘤ⅢB期，肠粘连，中度贫血</t>
  </si>
  <si>
    <t>B88</t>
  </si>
  <si>
    <t>ov66</t>
  </si>
  <si>
    <t>毛雨航</t>
  </si>
  <si>
    <t>右卵巢幼年性颗粒细胞瘤IA期</t>
  </si>
  <si>
    <t>B89</t>
  </si>
  <si>
    <t>ov67</t>
  </si>
  <si>
    <t>郑飞舟</t>
  </si>
  <si>
    <t>高级别浆液性癌IV期G3未控制</t>
  </si>
  <si>
    <t>B90</t>
  </si>
  <si>
    <t>ov68</t>
  </si>
  <si>
    <t>胡永秀</t>
  </si>
  <si>
    <t>卵巢高级别浆液性恶性肿瘤IIIC期，药物性血小板减少症，中度贫血，肠粘连，副脾，输卵管绝育术后</t>
  </si>
  <si>
    <t>B91</t>
  </si>
  <si>
    <t>ov69</t>
  </si>
  <si>
    <t>吴荣芳</t>
  </si>
  <si>
    <t>左卵巢恶性肿瘤IC2期（左卵巢癌肉瘤），肠粘连，左侧输尿管周围粘连，中度贫血</t>
  </si>
  <si>
    <t>B92</t>
  </si>
  <si>
    <t>ov70</t>
  </si>
  <si>
    <t>王红英</t>
  </si>
  <si>
    <t>双侧卵巢恶性肿瘤IIB期（浆液性癌，G3），肠粘连，双侧输尿管周围粘连，盆腔肿块（微灶肿瘤种植）</t>
  </si>
  <si>
    <t>B93</t>
  </si>
  <si>
    <t>ov71</t>
  </si>
  <si>
    <t>朱素仙</t>
  </si>
  <si>
    <t>左卵巢交界性黏液性囊腺肿瘤Ic期</t>
  </si>
  <si>
    <t>B100</t>
  </si>
  <si>
    <t>ov72</t>
  </si>
  <si>
    <t>赵惠娟</t>
  </si>
  <si>
    <t>卵巢恶性肿瘤（卵巢黏液腺癌I C2期）</t>
  </si>
  <si>
    <t>B101</t>
  </si>
  <si>
    <t>ov73</t>
  </si>
  <si>
    <t>黄海帆</t>
  </si>
  <si>
    <t>右卵巢复发性交界性浆液性肿瘤；双侧卵巢交界性肿瘤术后</t>
  </si>
  <si>
    <t>B103</t>
  </si>
  <si>
    <t>ov74</t>
  </si>
  <si>
    <t>王小英</t>
  </si>
  <si>
    <t>右输卵管高级别浆液性癌IIIC期</t>
  </si>
  <si>
    <t>B105</t>
  </si>
  <si>
    <t>ov75</t>
  </si>
  <si>
    <t>刘福娟</t>
  </si>
  <si>
    <t>双侧卵巢恶性肿瘤IV期（高级别浆液性腺癌）</t>
  </si>
  <si>
    <t>B106</t>
  </si>
  <si>
    <t>ov76</t>
  </si>
  <si>
    <t>卢爱莲</t>
  </si>
  <si>
    <t>左卵巢交界性黏液性囊腺肿瘤IA期</t>
  </si>
  <si>
    <t>B107</t>
  </si>
  <si>
    <t>ov77</t>
  </si>
  <si>
    <t>王双双</t>
  </si>
  <si>
    <t>卵巢交界性黏液性肿瘤IC期</t>
  </si>
  <si>
    <t>B108</t>
  </si>
  <si>
    <t>ov78</t>
  </si>
  <si>
    <t>吴克琴</t>
  </si>
  <si>
    <t>双侧卵巢恶性肿瘤IV A期（高级别浆液性腺癌），卵巢恶性肿瘤肺转移</t>
  </si>
  <si>
    <t>B109</t>
  </si>
  <si>
    <t>ov79</t>
  </si>
  <si>
    <t>金巧红</t>
  </si>
  <si>
    <t>卵巢恶性肿瘤IVA（浆液性，G3）</t>
  </si>
  <si>
    <t>B110</t>
  </si>
  <si>
    <t>ov80</t>
  </si>
  <si>
    <t>叶明明</t>
  </si>
  <si>
    <t>双侧卵巢恶性肿瘤II B期（浆液性癌，G3）</t>
  </si>
  <si>
    <t>B111</t>
  </si>
  <si>
    <t>ov81</t>
  </si>
  <si>
    <t>叶文君</t>
  </si>
  <si>
    <t>双侧卵巢恶性肿瘤IIIB期（高级别浆液性）</t>
  </si>
  <si>
    <t>B112</t>
  </si>
  <si>
    <t>ov82</t>
  </si>
  <si>
    <t>胡雅文</t>
  </si>
  <si>
    <t>卵巢恶性肿瘤（黏液性腺癌I A期G2）；盆腔肿物（纤维平滑肌软组织）</t>
  </si>
  <si>
    <t>B113</t>
  </si>
  <si>
    <t>ov83</t>
  </si>
  <si>
    <t>方银香</t>
  </si>
  <si>
    <t>卵巢恶性肿瘤IIB期（浆液性癌，G3）</t>
  </si>
  <si>
    <t>B123</t>
  </si>
  <si>
    <t>ov84</t>
  </si>
  <si>
    <t>钱金云</t>
  </si>
  <si>
    <t>左卵巢恶性肿瘤（透明细胞癌，1C2），盆腔肿块（纤维脂肪组织）</t>
  </si>
  <si>
    <t>B124</t>
  </si>
  <si>
    <t>ov85</t>
  </si>
  <si>
    <t>尹招娟</t>
  </si>
  <si>
    <t>双侧输卵管高级别浆液性癌IIIC期</t>
  </si>
  <si>
    <t>B125</t>
  </si>
  <si>
    <t>ov86</t>
  </si>
  <si>
    <t>陈利英</t>
  </si>
  <si>
    <t>卵巢恶性肿瘤II B期（G3，浆液性癌）</t>
  </si>
  <si>
    <t>B126</t>
  </si>
  <si>
    <t>ov87</t>
  </si>
  <si>
    <t>傅式君</t>
  </si>
  <si>
    <t>右侧卵巢恶性肿瘤II B期（子宫内膜样癌，G3）</t>
  </si>
  <si>
    <t>B127</t>
  </si>
  <si>
    <t>ov88</t>
  </si>
  <si>
    <t>赵贵芹</t>
  </si>
  <si>
    <t>左侧卵巢交界性浆粘液性肿瘤；盆腔子宫内膜异位症I V期（卵巢型、腹膜型）</t>
  </si>
  <si>
    <t>B128</t>
  </si>
  <si>
    <t>ov89</t>
  </si>
  <si>
    <t>王爱芳</t>
  </si>
  <si>
    <t>腹膜恶性肿瘤III C期（高级别浆液性癌）</t>
  </si>
  <si>
    <t>B129</t>
  </si>
  <si>
    <t>ov90</t>
  </si>
  <si>
    <t>章金芳</t>
  </si>
  <si>
    <t>卵巢癌III A2期（透明细胞癌）</t>
  </si>
  <si>
    <t>B155</t>
  </si>
  <si>
    <t>ov91</t>
  </si>
  <si>
    <t>苗文琴</t>
  </si>
  <si>
    <t>左卵巢恶性肿瘤IIB期（高级别浆液性癌），子宫内膜息肉</t>
  </si>
  <si>
    <t>B44</t>
  </si>
  <si>
    <t>ov92</t>
  </si>
  <si>
    <t>丁水德</t>
  </si>
  <si>
    <t>腹膜恶性肿瘤（高级别浆液性癌IIIC期）</t>
  </si>
  <si>
    <t>B132</t>
  </si>
  <si>
    <t>ov93</t>
  </si>
  <si>
    <t>王海燕</t>
  </si>
  <si>
    <t>卵巢恶性肿瘤II B期（浆液性癌，G3）</t>
  </si>
  <si>
    <t>B133</t>
  </si>
  <si>
    <t>ov94</t>
  </si>
  <si>
    <t>贾晓君</t>
  </si>
  <si>
    <t>卵巢恶性肿瘤IIIC期（浆液性癌，G3）</t>
  </si>
  <si>
    <t>B134</t>
  </si>
  <si>
    <t>ov95</t>
  </si>
  <si>
    <t>张明珠</t>
  </si>
  <si>
    <t>卵巢恶性肿瘤IIIC期（高级别浆液性癌）</t>
  </si>
  <si>
    <t>B135</t>
  </si>
  <si>
    <t>ov96</t>
  </si>
  <si>
    <t>陈有珍</t>
  </si>
  <si>
    <t>右输卵管恶性肿瘤IVB期（浆液性，G3）</t>
  </si>
  <si>
    <t>B136</t>
  </si>
  <si>
    <t>ov97</t>
  </si>
  <si>
    <t>金道传</t>
  </si>
  <si>
    <t>左卵巢癌IIIA1（ii）期（高级别浆液性癌）</t>
  </si>
  <si>
    <t>B137</t>
  </si>
  <si>
    <t>ov98</t>
  </si>
  <si>
    <t>朱良务</t>
  </si>
  <si>
    <t>卵巢恶性肿瘤III B期（G3）</t>
  </si>
  <si>
    <t>B138</t>
  </si>
  <si>
    <t>ov99</t>
  </si>
  <si>
    <t>任文花</t>
  </si>
  <si>
    <t>B139</t>
  </si>
  <si>
    <t>ov100</t>
  </si>
  <si>
    <t>胡黎红</t>
  </si>
  <si>
    <t>卵巢恶性肿瘤I A期（透明细胞癌）</t>
  </si>
  <si>
    <t>B140</t>
  </si>
  <si>
    <t>ov101</t>
  </si>
  <si>
    <t>张成兰</t>
  </si>
  <si>
    <t>左卵巢恶性肿瘤II B期（浆液性癌，G3）</t>
  </si>
  <si>
    <t>B141</t>
  </si>
  <si>
    <t>ov102</t>
  </si>
  <si>
    <t>吕静</t>
  </si>
  <si>
    <t>左卵巢恶性肿瘤IIIC期（高级别浆液性癌）</t>
  </si>
  <si>
    <t>B142</t>
  </si>
  <si>
    <t>ov103</t>
  </si>
  <si>
    <t>单静芳</t>
  </si>
  <si>
    <t>左侧输卵管恶性肿瘤IIIC期（浆液性G3）</t>
  </si>
  <si>
    <t>B143</t>
  </si>
  <si>
    <t>ov104</t>
  </si>
  <si>
    <t>姜约莲</t>
  </si>
  <si>
    <t>卵巢恶性肿瘤（高级别浆液性癌IC3期）</t>
  </si>
  <si>
    <t>B144</t>
  </si>
  <si>
    <t>ov105</t>
  </si>
  <si>
    <t>何雪云</t>
  </si>
  <si>
    <t>双侧卵巢恶性肿瘤II A期（高级别浆液性）</t>
  </si>
  <si>
    <t>B145</t>
  </si>
  <si>
    <t>ov106</t>
  </si>
  <si>
    <t>李微</t>
  </si>
  <si>
    <t>卵巢恶性肿瘤IV期</t>
  </si>
  <si>
    <t>B146</t>
  </si>
  <si>
    <t>ov107</t>
  </si>
  <si>
    <t>张秋月</t>
  </si>
  <si>
    <t>左输卵管恶性肿瘤IIIA1（i）期（浆液性癌，G3）</t>
  </si>
  <si>
    <t>B154</t>
  </si>
  <si>
    <t>ov108</t>
  </si>
  <si>
    <t>施法娥</t>
  </si>
  <si>
    <t>B148</t>
  </si>
  <si>
    <t>ov109</t>
  </si>
  <si>
    <t>龚苏兰</t>
  </si>
  <si>
    <t>卵巢恶性肿瘤IVB期（高级别浆液性癌）</t>
  </si>
  <si>
    <t>B149</t>
  </si>
  <si>
    <t>ov110</t>
  </si>
  <si>
    <t>安金陵</t>
  </si>
  <si>
    <t>B150</t>
  </si>
  <si>
    <t>ov111</t>
  </si>
  <si>
    <t>项芬妹</t>
  </si>
  <si>
    <t>B151</t>
  </si>
  <si>
    <t>ov112</t>
  </si>
  <si>
    <t>刘林萍</t>
  </si>
  <si>
    <t>右侧卵巢恶性肿瘤IC1期（透明细胞癌）</t>
  </si>
  <si>
    <t>B152</t>
  </si>
  <si>
    <t>ov113</t>
  </si>
  <si>
    <t>杨增兰</t>
  </si>
  <si>
    <t>B153</t>
  </si>
  <si>
    <t>ov114</t>
  </si>
  <si>
    <t>Sample</t>
  </si>
  <si>
    <t>age</t>
  </si>
  <si>
    <t>type1</t>
  </si>
  <si>
    <t>高级别浆液性卵巢癌</t>
  </si>
  <si>
    <t>a</t>
  </si>
  <si>
    <t>输卵管癌</t>
  </si>
  <si>
    <t>b</t>
  </si>
  <si>
    <t>混合性瘤</t>
  </si>
  <si>
    <t>c</t>
  </si>
  <si>
    <t>低级别浆液性及交界性</t>
  </si>
  <si>
    <t>d</t>
  </si>
  <si>
    <t>不成熟畸胎瘤</t>
  </si>
  <si>
    <t>e</t>
  </si>
  <si>
    <t>透明细胞癌</t>
  </si>
  <si>
    <t>f</t>
  </si>
  <si>
    <t>无性细胞瘤</t>
  </si>
  <si>
    <t>g</t>
  </si>
  <si>
    <t>颗粒细胞瘤</t>
  </si>
  <si>
    <t>h</t>
  </si>
  <si>
    <t>恶性生殖细胞</t>
  </si>
  <si>
    <t>i</t>
  </si>
  <si>
    <t>子宫内膜样</t>
  </si>
  <si>
    <t>j</t>
  </si>
  <si>
    <t>腹膜癌</t>
  </si>
  <si>
    <t>k</t>
  </si>
  <si>
    <t>组别</t>
  </si>
  <si>
    <t>备注</t>
  </si>
  <si>
    <t>囊腺瘤</t>
  </si>
  <si>
    <t>刘冰如</t>
  </si>
  <si>
    <t>a95</t>
  </si>
  <si>
    <t>cys1</t>
  </si>
  <si>
    <t>刘湘</t>
  </si>
  <si>
    <t>a56</t>
  </si>
  <si>
    <t>cys2</t>
  </si>
  <si>
    <t>黄婷婷</t>
  </si>
  <si>
    <t>a54</t>
  </si>
  <si>
    <t>cys3</t>
  </si>
  <si>
    <t>王丽芬</t>
  </si>
  <si>
    <t>a32</t>
  </si>
  <si>
    <t>cys4</t>
  </si>
  <si>
    <t>林芝英</t>
  </si>
  <si>
    <t>a34</t>
  </si>
  <si>
    <t>cys5</t>
  </si>
  <si>
    <t>程卫东</t>
  </si>
  <si>
    <t>a105</t>
  </si>
  <si>
    <t>cys6</t>
  </si>
  <si>
    <t>陈瑾</t>
  </si>
  <si>
    <t>a133</t>
  </si>
  <si>
    <t>cys7</t>
  </si>
  <si>
    <t>张国华</t>
  </si>
  <si>
    <t>a143</t>
  </si>
  <si>
    <t>cys8</t>
  </si>
  <si>
    <t>戴国凤</t>
  </si>
  <si>
    <t>a178</t>
  </si>
  <si>
    <t>cys9</t>
  </si>
  <si>
    <t>内异</t>
  </si>
  <si>
    <t>李宁</t>
  </si>
  <si>
    <t>a81</t>
  </si>
  <si>
    <t>cys10</t>
  </si>
  <si>
    <t>黄玥</t>
  </si>
  <si>
    <t>a195</t>
  </si>
  <si>
    <t>cys11</t>
  </si>
  <si>
    <t>尹娟娟</t>
  </si>
  <si>
    <t>a79</t>
  </si>
  <si>
    <t>cys12</t>
  </si>
  <si>
    <t>汪芳</t>
  </si>
  <si>
    <t>a181</t>
  </si>
  <si>
    <t>cys13</t>
  </si>
  <si>
    <t>汪清清</t>
  </si>
  <si>
    <t>a183</t>
  </si>
  <si>
    <t>cys14</t>
  </si>
  <si>
    <t>傅铭洁</t>
  </si>
  <si>
    <t>a187</t>
  </si>
  <si>
    <t>cys15</t>
  </si>
  <si>
    <t>王志连</t>
  </si>
  <si>
    <t>a90</t>
  </si>
  <si>
    <t>cys16</t>
  </si>
  <si>
    <t>吴延曦</t>
  </si>
  <si>
    <t>a99</t>
  </si>
  <si>
    <t>cys17</t>
  </si>
  <si>
    <t>李琴飞</t>
  </si>
  <si>
    <t>a87</t>
  </si>
  <si>
    <t>cys18</t>
  </si>
  <si>
    <t>黄小奚</t>
  </si>
  <si>
    <t>a84</t>
  </si>
  <si>
    <t>cys19</t>
  </si>
  <si>
    <t>陈露露</t>
  </si>
  <si>
    <t>a51</t>
  </si>
  <si>
    <t>cys20</t>
  </si>
  <si>
    <t>姜平仙</t>
  </si>
  <si>
    <t>a48</t>
  </si>
  <si>
    <t>cys21</t>
  </si>
  <si>
    <t>郑琦</t>
  </si>
  <si>
    <t>a57</t>
  </si>
  <si>
    <t>cys22</t>
  </si>
  <si>
    <t>张颖</t>
  </si>
  <si>
    <t>a47</t>
  </si>
  <si>
    <t>cys23</t>
  </si>
  <si>
    <t>周小武</t>
  </si>
  <si>
    <t>a45</t>
  </si>
  <si>
    <t>cys24</t>
  </si>
  <si>
    <t>占莉莉</t>
  </si>
  <si>
    <t>a44</t>
  </si>
  <si>
    <t>cys25</t>
  </si>
  <si>
    <t>胡晴</t>
  </si>
  <si>
    <t>a19</t>
  </si>
  <si>
    <t>cys26</t>
  </si>
  <si>
    <t>谭英娜</t>
  </si>
  <si>
    <t>a115</t>
  </si>
  <si>
    <t>cys27</t>
  </si>
  <si>
    <t>何海芬</t>
  </si>
  <si>
    <t>cys28</t>
  </si>
  <si>
    <t>金文雨</t>
  </si>
  <si>
    <t>a120</t>
  </si>
  <si>
    <t>cys29</t>
  </si>
  <si>
    <t>应旌儿</t>
  </si>
  <si>
    <t>a8</t>
  </si>
  <si>
    <t>cys30</t>
  </si>
  <si>
    <t>向学梅</t>
  </si>
  <si>
    <t>a10</t>
  </si>
  <si>
    <t>cys31</t>
  </si>
  <si>
    <t>陈月飞</t>
  </si>
  <si>
    <t>a15</t>
  </si>
  <si>
    <t>cys32</t>
  </si>
  <si>
    <t>高冬琴</t>
  </si>
  <si>
    <t>a24</t>
  </si>
  <si>
    <t>cys33</t>
  </si>
  <si>
    <t>徐平英</t>
  </si>
  <si>
    <t>a25</t>
  </si>
  <si>
    <t>cys34</t>
  </si>
  <si>
    <t>包思思</t>
  </si>
  <si>
    <t>a30</t>
  </si>
  <si>
    <t>cys35</t>
  </si>
  <si>
    <t>王文英</t>
  </si>
  <si>
    <t>a31</t>
  </si>
  <si>
    <t>cys36</t>
  </si>
  <si>
    <t>a33</t>
  </si>
  <si>
    <t>与a195为同病人，此次为术后复发</t>
  </si>
  <si>
    <t>cys37</t>
  </si>
  <si>
    <t>沈建林</t>
  </si>
  <si>
    <t>a37</t>
  </si>
  <si>
    <t>cys38</t>
  </si>
  <si>
    <t>余锟晴</t>
  </si>
  <si>
    <t>a39</t>
  </si>
  <si>
    <t>cys39</t>
  </si>
  <si>
    <t>缪慧波</t>
  </si>
  <si>
    <t>a41</t>
  </si>
  <si>
    <t>cys40</t>
  </si>
  <si>
    <t>冯敏</t>
  </si>
  <si>
    <t>a42</t>
  </si>
  <si>
    <t>cys41</t>
  </si>
  <si>
    <t>王雁</t>
  </si>
  <si>
    <t>a20</t>
  </si>
  <si>
    <t>cys42</t>
  </si>
  <si>
    <t>沈玉萍</t>
  </si>
  <si>
    <t>a121</t>
  </si>
  <si>
    <t>cys43</t>
  </si>
  <si>
    <t>余意平</t>
  </si>
  <si>
    <t>a122</t>
  </si>
  <si>
    <t>cys44</t>
  </si>
  <si>
    <t>杨燕飞</t>
  </si>
  <si>
    <t>a127</t>
  </si>
  <si>
    <t>cys45</t>
  </si>
  <si>
    <t>傅瑶平</t>
  </si>
  <si>
    <t>a128</t>
  </si>
  <si>
    <t>cys46</t>
  </si>
  <si>
    <t>金萍</t>
  </si>
  <si>
    <t>a129</t>
  </si>
  <si>
    <t>cys47</t>
  </si>
  <si>
    <t>马路</t>
  </si>
  <si>
    <t>a69</t>
  </si>
  <si>
    <t>cys48</t>
  </si>
  <si>
    <t>谢华</t>
  </si>
  <si>
    <t>a78</t>
  </si>
  <si>
    <t>cys49</t>
  </si>
  <si>
    <t>靳桂丽</t>
  </si>
  <si>
    <t>a67</t>
  </si>
  <si>
    <t>cys50</t>
  </si>
  <si>
    <t>李静</t>
  </si>
  <si>
    <t>a77</t>
  </si>
  <si>
    <t>cys51</t>
  </si>
  <si>
    <t>王稀妮</t>
  </si>
  <si>
    <t>a80</t>
  </si>
  <si>
    <t>cys52</t>
  </si>
  <si>
    <t>吴晓荷</t>
  </si>
  <si>
    <t>a65</t>
  </si>
  <si>
    <t>cys53</t>
  </si>
  <si>
    <t>刘丹蓉</t>
  </si>
  <si>
    <t>a63</t>
  </si>
  <si>
    <t>cys54</t>
  </si>
  <si>
    <t>王珊</t>
  </si>
  <si>
    <t>a72</t>
  </si>
  <si>
    <t>cys55</t>
  </si>
  <si>
    <t>卢素梅</t>
  </si>
  <si>
    <t>a125</t>
  </si>
  <si>
    <t>cys56</t>
  </si>
  <si>
    <t>赵洁</t>
  </si>
  <si>
    <t>a97</t>
  </si>
  <si>
    <t>原a97还没换</t>
  </si>
  <si>
    <t>cys57</t>
  </si>
  <si>
    <t>商洪柳</t>
  </si>
  <si>
    <t>a193</t>
  </si>
  <si>
    <t>cys58</t>
  </si>
  <si>
    <t>吴春岚</t>
  </si>
  <si>
    <t>a1</t>
  </si>
  <si>
    <t>cys59</t>
  </si>
  <si>
    <t>侯明应</t>
  </si>
  <si>
    <t>a104</t>
  </si>
  <si>
    <t>cys60</t>
  </si>
  <si>
    <t>车渝妙</t>
  </si>
  <si>
    <t>a112</t>
  </si>
  <si>
    <t>cys61</t>
  </si>
  <si>
    <t>潘之嫣</t>
  </si>
  <si>
    <t>a132</t>
  </si>
  <si>
    <t>cys62</t>
  </si>
  <si>
    <t>吴兰聪</t>
  </si>
  <si>
    <t>a134</t>
  </si>
  <si>
    <t>cys63</t>
  </si>
  <si>
    <t>杜侃宁</t>
  </si>
  <si>
    <t>a135</t>
  </si>
  <si>
    <t>cys64</t>
  </si>
  <si>
    <t>马燕芬</t>
  </si>
  <si>
    <t>a137</t>
  </si>
  <si>
    <t>cys65</t>
  </si>
  <si>
    <t>林滨滨</t>
  </si>
  <si>
    <t>a138</t>
  </si>
  <si>
    <t>cys66</t>
  </si>
  <si>
    <t>卢双双</t>
  </si>
  <si>
    <t>a141</t>
  </si>
  <si>
    <t>cys67</t>
  </si>
  <si>
    <t>毛世艳</t>
  </si>
  <si>
    <t>a142</t>
  </si>
  <si>
    <t>cys68</t>
  </si>
  <si>
    <t>高红雲</t>
  </si>
  <si>
    <t>a145</t>
  </si>
  <si>
    <t>cys69</t>
  </si>
  <si>
    <t>陈英园</t>
  </si>
  <si>
    <t>a147</t>
  </si>
  <si>
    <t>cys70</t>
  </si>
  <si>
    <t>叶青</t>
  </si>
  <si>
    <t>a148</t>
  </si>
  <si>
    <t>cys71</t>
  </si>
  <si>
    <t>苏芸芸</t>
  </si>
  <si>
    <t>a151</t>
  </si>
  <si>
    <t>cys72</t>
  </si>
  <si>
    <t>蒋小芳</t>
  </si>
  <si>
    <t>a155</t>
  </si>
  <si>
    <t>cys73</t>
  </si>
  <si>
    <t>李娟</t>
  </si>
  <si>
    <t>a159</t>
  </si>
  <si>
    <t>cys74</t>
  </si>
  <si>
    <t>董银萍</t>
  </si>
  <si>
    <t>a161</t>
  </si>
  <si>
    <t>cys75</t>
  </si>
  <si>
    <t>吴雅琪</t>
  </si>
  <si>
    <t>a163</t>
  </si>
  <si>
    <t>cys76</t>
  </si>
  <si>
    <t>潘宇欣</t>
  </si>
  <si>
    <t>a165</t>
  </si>
  <si>
    <t>cys77</t>
  </si>
  <si>
    <t>陈敏</t>
  </si>
  <si>
    <t>a172</t>
  </si>
  <si>
    <t>cys78</t>
  </si>
  <si>
    <t>方真</t>
  </si>
  <si>
    <t>a167</t>
  </si>
  <si>
    <t>cys79</t>
  </si>
  <si>
    <t>张梦佳</t>
  </si>
  <si>
    <t>a168</t>
  </si>
  <si>
    <t>cys80</t>
  </si>
  <si>
    <t>尚桂萍</t>
  </si>
  <si>
    <t>a169</t>
  </si>
  <si>
    <t>cys81</t>
  </si>
  <si>
    <t>陈懿园</t>
  </si>
  <si>
    <t>a170</t>
  </si>
  <si>
    <t>cys82</t>
  </si>
  <si>
    <t>余雯</t>
  </si>
  <si>
    <t>a175</t>
  </si>
  <si>
    <t>cys83</t>
  </si>
  <si>
    <t>凤娟</t>
  </si>
  <si>
    <t>a191</t>
  </si>
  <si>
    <t>cys84</t>
  </si>
  <si>
    <t>方丽</t>
  </si>
  <si>
    <t>a82</t>
  </si>
  <si>
    <t>cys85</t>
  </si>
  <si>
    <t>谢建英</t>
  </si>
  <si>
    <t>a16</t>
  </si>
  <si>
    <t>cys86</t>
  </si>
  <si>
    <t>许春霞</t>
  </si>
  <si>
    <t>a14</t>
  </si>
  <si>
    <t>cys87</t>
  </si>
  <si>
    <t>高俊瑶</t>
  </si>
  <si>
    <t>a158</t>
  </si>
  <si>
    <t>陈舒宜考虑内异</t>
  </si>
  <si>
    <t>cys88</t>
  </si>
  <si>
    <t>郑良娟</t>
  </si>
  <si>
    <t>a107</t>
  </si>
  <si>
    <t>cys89</t>
  </si>
  <si>
    <t>王静</t>
  </si>
  <si>
    <t>a118</t>
  </si>
  <si>
    <t>cys90</t>
  </si>
  <si>
    <t>江慧莲</t>
  </si>
  <si>
    <t>a5</t>
  </si>
  <si>
    <t>cys91</t>
  </si>
  <si>
    <t>宋云鹤</t>
  </si>
  <si>
    <t>a7</t>
  </si>
  <si>
    <t>cys92</t>
  </si>
  <si>
    <t>毛晓君</t>
  </si>
  <si>
    <t>a93</t>
  </si>
  <si>
    <t>cys93</t>
  </si>
  <si>
    <t>林云</t>
  </si>
  <si>
    <t>a60</t>
  </si>
  <si>
    <t>cys94</t>
  </si>
  <si>
    <t>吴春华</t>
  </si>
  <si>
    <t>a177</t>
  </si>
  <si>
    <t>cys95</t>
  </si>
  <si>
    <t>畸胎瘤</t>
  </si>
  <si>
    <t>毛梦莹</t>
  </si>
  <si>
    <t>a62</t>
  </si>
  <si>
    <t>cys96</t>
  </si>
  <si>
    <t>林倩</t>
  </si>
  <si>
    <t>a66</t>
  </si>
  <si>
    <t>cys97</t>
  </si>
  <si>
    <t>吴美华</t>
  </si>
  <si>
    <t>a126</t>
  </si>
  <si>
    <t>cys98</t>
  </si>
  <si>
    <t>翁幔利</t>
  </si>
  <si>
    <t>a123</t>
  </si>
  <si>
    <t>cys99</t>
  </si>
  <si>
    <t>孟莉娜</t>
  </si>
  <si>
    <t>a12</t>
  </si>
  <si>
    <t>cys100</t>
  </si>
  <si>
    <t>何彦</t>
  </si>
  <si>
    <t>a43</t>
  </si>
  <si>
    <t>cys101</t>
  </si>
  <si>
    <t>许凯晶</t>
  </si>
  <si>
    <t>a86</t>
  </si>
  <si>
    <t>cys102</t>
  </si>
  <si>
    <t>叶颖</t>
  </si>
  <si>
    <t>a96</t>
  </si>
  <si>
    <t>cys103</t>
  </si>
  <si>
    <t>朱荣</t>
  </si>
  <si>
    <t>a190</t>
  </si>
  <si>
    <t>cys104</t>
  </si>
  <si>
    <t>徐靖雯</t>
  </si>
  <si>
    <t>a106</t>
  </si>
  <si>
    <t>cys105</t>
  </si>
  <si>
    <t>杜文莉</t>
  </si>
  <si>
    <t>a109</t>
  </si>
  <si>
    <t>cys106</t>
  </si>
  <si>
    <t>宋亚玫</t>
  </si>
  <si>
    <t>a131</t>
  </si>
  <si>
    <t>cys107</t>
  </si>
  <si>
    <t>庄秀珍</t>
  </si>
  <si>
    <t>a146</t>
  </si>
  <si>
    <t>cys108</t>
  </si>
  <si>
    <t>凌晨</t>
  </si>
  <si>
    <t>a149</t>
  </si>
  <si>
    <t>cys109</t>
  </si>
  <si>
    <t>马丽丽</t>
  </si>
  <si>
    <t>a152</t>
  </si>
  <si>
    <t>cys110</t>
  </si>
  <si>
    <t>祝惠兰</t>
  </si>
  <si>
    <t>a154</t>
  </si>
  <si>
    <t>cys111</t>
  </si>
  <si>
    <t>叶汶汶</t>
  </si>
  <si>
    <t>a164</t>
  </si>
  <si>
    <t>cys112</t>
  </si>
  <si>
    <t>谭碧云</t>
  </si>
  <si>
    <t>a174</t>
  </si>
  <si>
    <t>cys113</t>
  </si>
  <si>
    <t>郁春梅</t>
  </si>
  <si>
    <t>a180</t>
  </si>
  <si>
    <t>cys114</t>
  </si>
  <si>
    <t>王娟</t>
  </si>
  <si>
    <t>a9</t>
  </si>
  <si>
    <t>cys115</t>
  </si>
  <si>
    <t>胡萌萌</t>
  </si>
  <si>
    <t>a2</t>
  </si>
  <si>
    <t>cys116</t>
  </si>
  <si>
    <t>俞菲菲</t>
  </si>
  <si>
    <t>a4</t>
  </si>
  <si>
    <t>cys117</t>
  </si>
  <si>
    <t>李煜博</t>
  </si>
  <si>
    <t>a171</t>
  </si>
  <si>
    <t>cys118</t>
  </si>
  <si>
    <t>单纯性囊肿</t>
  </si>
  <si>
    <t>陈引弟</t>
  </si>
  <si>
    <t>a18</t>
  </si>
  <si>
    <t>cys119</t>
  </si>
  <si>
    <t>方爱媛</t>
  </si>
  <si>
    <t>a55</t>
  </si>
  <si>
    <t>cys120</t>
  </si>
  <si>
    <t>陈明霞</t>
  </si>
  <si>
    <t>a100</t>
  </si>
  <si>
    <t>cys121</t>
  </si>
  <si>
    <t>薛彦</t>
  </si>
  <si>
    <t>a101</t>
  </si>
  <si>
    <t>cys122</t>
  </si>
  <si>
    <t>徐玲妹</t>
  </si>
  <si>
    <t>a94</t>
  </si>
  <si>
    <t>cys123</t>
  </si>
  <si>
    <t>张芳</t>
  </si>
  <si>
    <t>a188</t>
  </si>
  <si>
    <t>cys124</t>
  </si>
  <si>
    <t>杨为凤</t>
  </si>
  <si>
    <t>a70</t>
  </si>
  <si>
    <t>cys125</t>
  </si>
  <si>
    <t>易玉芳</t>
  </si>
  <si>
    <t>a136</t>
  </si>
  <si>
    <t>cys126</t>
  </si>
  <si>
    <t>戚利娟</t>
  </si>
  <si>
    <t>a140</t>
  </si>
  <si>
    <t>cys127</t>
  </si>
  <si>
    <t>郭伯珠</t>
  </si>
  <si>
    <t>a13</t>
  </si>
  <si>
    <t>cys128</t>
  </si>
  <si>
    <t>韩莉</t>
  </si>
  <si>
    <t>a184</t>
  </si>
  <si>
    <t>cys129</t>
  </si>
  <si>
    <t>王赖秀</t>
  </si>
  <si>
    <t>a6</t>
  </si>
  <si>
    <t>cys130</t>
  </si>
  <si>
    <t>旧编号</t>
  </si>
  <si>
    <t>住院号</t>
  </si>
  <si>
    <t>性别</t>
  </si>
  <si>
    <t>乙肝</t>
  </si>
  <si>
    <t>afp</t>
  </si>
  <si>
    <t>ast（15-40）</t>
  </si>
  <si>
    <t>alt（7-50）</t>
  </si>
  <si>
    <t>新编号</t>
  </si>
  <si>
    <t>吴红</t>
  </si>
  <si>
    <t>女</t>
  </si>
  <si>
    <t>未查</t>
  </si>
  <si>
    <t>c1</t>
  </si>
  <si>
    <t>ctrl1</t>
  </si>
  <si>
    <t>汤美伟</t>
  </si>
  <si>
    <t>c2</t>
  </si>
  <si>
    <t>ctrl2</t>
  </si>
  <si>
    <t>钟燕楠</t>
  </si>
  <si>
    <t>c3</t>
  </si>
  <si>
    <t>ctrl3</t>
  </si>
  <si>
    <t>武茜</t>
  </si>
  <si>
    <t>c4</t>
  </si>
  <si>
    <t>ctrl4</t>
  </si>
  <si>
    <t>高洁华</t>
  </si>
  <si>
    <t>c5</t>
  </si>
  <si>
    <t>ctrl5</t>
  </si>
  <si>
    <t>蔡俏英</t>
  </si>
  <si>
    <t>c6</t>
  </si>
  <si>
    <t>ctrl6</t>
  </si>
  <si>
    <t>胡珏</t>
  </si>
  <si>
    <t>c7</t>
  </si>
  <si>
    <t>ctrl7</t>
  </si>
  <si>
    <t>陆羽婕</t>
  </si>
  <si>
    <t>c8</t>
  </si>
  <si>
    <t>ctrl8</t>
  </si>
  <si>
    <t>吴凡</t>
  </si>
  <si>
    <t>c9</t>
  </si>
  <si>
    <t>ctrl9</t>
  </si>
  <si>
    <t>陈梦瑶</t>
  </si>
  <si>
    <t>c10</t>
  </si>
  <si>
    <t>ctrl10</t>
  </si>
  <si>
    <t>莫嘉</t>
  </si>
  <si>
    <t>c11</t>
  </si>
  <si>
    <t>ctrl11</t>
  </si>
  <si>
    <t>陈正洋</t>
  </si>
  <si>
    <t>c12</t>
  </si>
  <si>
    <t>ctrl12</t>
  </si>
  <si>
    <t>阮春英</t>
  </si>
  <si>
    <t>c13</t>
  </si>
  <si>
    <t>ctrl13</t>
  </si>
  <si>
    <t>闫慧子</t>
  </si>
  <si>
    <t>c14</t>
  </si>
  <si>
    <t>ctrl14</t>
  </si>
  <si>
    <t>林雪芬</t>
  </si>
  <si>
    <t>c15</t>
  </si>
  <si>
    <t>ctrl15</t>
  </si>
  <si>
    <t>黄冰群</t>
  </si>
  <si>
    <t>c16</t>
  </si>
  <si>
    <t>ctrl16</t>
  </si>
  <si>
    <t>雷艳铃</t>
  </si>
  <si>
    <t>c17</t>
  </si>
  <si>
    <t>ctrl17</t>
  </si>
  <si>
    <t>任少凡</t>
  </si>
  <si>
    <t>c18</t>
  </si>
  <si>
    <t>ctrl18</t>
  </si>
  <si>
    <t>马玉静</t>
  </si>
  <si>
    <t>c19</t>
  </si>
  <si>
    <t>ctrl19</t>
  </si>
  <si>
    <t>虎陈霞</t>
  </si>
  <si>
    <t>c20</t>
  </si>
  <si>
    <t>ctrl20</t>
  </si>
  <si>
    <t>曹吉莉</t>
  </si>
  <si>
    <t>c21</t>
  </si>
  <si>
    <t>ctrl21</t>
  </si>
  <si>
    <t>李致颖</t>
  </si>
  <si>
    <t>c22</t>
  </si>
  <si>
    <t>ctrl22</t>
  </si>
  <si>
    <t>王玉婷</t>
  </si>
  <si>
    <t>c23</t>
  </si>
  <si>
    <t>ctrl23</t>
  </si>
  <si>
    <t>徐晖</t>
  </si>
  <si>
    <t>c24</t>
  </si>
  <si>
    <t>ctrl24</t>
  </si>
  <si>
    <t>许芳</t>
  </si>
  <si>
    <t>c25</t>
  </si>
  <si>
    <t>ctrl25</t>
  </si>
  <si>
    <t>王水莲</t>
  </si>
  <si>
    <t>c26</t>
  </si>
  <si>
    <t>ctrl26</t>
  </si>
  <si>
    <t>刘康琪</t>
  </si>
  <si>
    <t>c28</t>
  </si>
  <si>
    <t>ctrl27</t>
  </si>
  <si>
    <t>杨云飞</t>
  </si>
  <si>
    <t>c29</t>
  </si>
  <si>
    <t>ctrl28</t>
  </si>
  <si>
    <t>陈乃湘</t>
  </si>
  <si>
    <t>c30</t>
  </si>
  <si>
    <t>ctrl29</t>
  </si>
  <si>
    <t>张冉</t>
  </si>
  <si>
    <t>c31</t>
  </si>
  <si>
    <t>ctrl30</t>
  </si>
  <si>
    <t>陈善晓</t>
  </si>
  <si>
    <t>c32</t>
  </si>
  <si>
    <t>ctrl31</t>
  </si>
  <si>
    <t>杨梦姣</t>
  </si>
  <si>
    <t>c33</t>
  </si>
  <si>
    <t>ctrl32</t>
  </si>
  <si>
    <t>彭亚丽</t>
  </si>
  <si>
    <t>c34</t>
  </si>
  <si>
    <t>ctrl33</t>
  </si>
  <si>
    <t>朱雅萍</t>
  </si>
  <si>
    <t>c35</t>
  </si>
  <si>
    <t>ctrl34</t>
  </si>
  <si>
    <t>朱晓晖</t>
  </si>
  <si>
    <t>c36</t>
  </si>
  <si>
    <t>ctrl35</t>
  </si>
  <si>
    <t>梁倩艳</t>
  </si>
  <si>
    <t>c37</t>
  </si>
  <si>
    <t>ctrl36</t>
  </si>
  <si>
    <t>陈红叶</t>
  </si>
  <si>
    <t>c38</t>
  </si>
  <si>
    <t>ctrl37</t>
  </si>
  <si>
    <t>江悦</t>
  </si>
  <si>
    <t>c39</t>
  </si>
  <si>
    <t>ctrl38</t>
  </si>
  <si>
    <t>高燕铭</t>
  </si>
  <si>
    <t>c40</t>
  </si>
  <si>
    <t>ctrl39</t>
  </si>
  <si>
    <t>宋艳芳</t>
  </si>
  <si>
    <t>c41</t>
  </si>
  <si>
    <t>ctrl40</t>
  </si>
  <si>
    <t>包丽平</t>
  </si>
  <si>
    <t>c42</t>
  </si>
  <si>
    <t>ctrl41</t>
  </si>
  <si>
    <t>贾后丽</t>
  </si>
  <si>
    <t>c43</t>
  </si>
  <si>
    <t>ctrl42</t>
  </si>
  <si>
    <t>黄燕</t>
  </si>
  <si>
    <t>c44</t>
  </si>
  <si>
    <t>ctrl43</t>
  </si>
  <si>
    <t>徐珊</t>
  </si>
  <si>
    <t>c45</t>
  </si>
  <si>
    <t>ctrl44</t>
  </si>
  <si>
    <t>童素娟</t>
  </si>
  <si>
    <t>c46</t>
  </si>
  <si>
    <t>ctrl45</t>
  </si>
  <si>
    <t>c47</t>
  </si>
  <si>
    <t>ctrl46</t>
  </si>
  <si>
    <t>武秀梅</t>
  </si>
  <si>
    <t>c48</t>
  </si>
  <si>
    <t>ctrl47</t>
  </si>
  <si>
    <t>李婷</t>
  </si>
  <si>
    <t>c49</t>
  </si>
  <si>
    <t>ctrl48</t>
  </si>
  <si>
    <t>沈红芳</t>
  </si>
  <si>
    <t>c50</t>
  </si>
  <si>
    <t>ctrl49</t>
  </si>
  <si>
    <t>黄丰平</t>
  </si>
  <si>
    <t>c51</t>
  </si>
  <si>
    <t>ctrl50</t>
  </si>
  <si>
    <t>祝雯雯</t>
  </si>
  <si>
    <t>c52</t>
  </si>
  <si>
    <t>ctrl51</t>
  </si>
  <si>
    <t>顾玉兰</t>
  </si>
  <si>
    <t>c53</t>
  </si>
  <si>
    <t>ctrl52</t>
  </si>
  <si>
    <t>计玲盈</t>
  </si>
  <si>
    <t>c54</t>
  </si>
  <si>
    <t>ctrl53</t>
  </si>
  <si>
    <t>周文婷</t>
  </si>
  <si>
    <t>c55</t>
  </si>
  <si>
    <t>ctrl54</t>
  </si>
  <si>
    <t>王晓</t>
  </si>
  <si>
    <t>c56</t>
  </si>
  <si>
    <t>ctrl55</t>
  </si>
  <si>
    <t>刘静</t>
  </si>
  <si>
    <t>c57</t>
  </si>
  <si>
    <t>ctrl56</t>
  </si>
  <si>
    <t>易小兰</t>
  </si>
  <si>
    <t>c58</t>
  </si>
  <si>
    <t>ctrl57</t>
  </si>
  <si>
    <t>田霄燕</t>
  </si>
  <si>
    <t>c59</t>
  </si>
  <si>
    <t>ctrl58</t>
  </si>
  <si>
    <t>朱泓</t>
  </si>
  <si>
    <t>c60</t>
  </si>
  <si>
    <t>ctrl59</t>
  </si>
  <si>
    <t>柯玉萍</t>
  </si>
  <si>
    <t>c67</t>
  </si>
  <si>
    <t>ctrl60</t>
  </si>
  <si>
    <t>王宇虹</t>
  </si>
  <si>
    <t>c68</t>
  </si>
  <si>
    <t>ctrl61</t>
  </si>
  <si>
    <t>周玉芹</t>
  </si>
  <si>
    <t>c69</t>
  </si>
  <si>
    <t>ctrl62</t>
  </si>
  <si>
    <t>卢小年</t>
  </si>
  <si>
    <t>c70</t>
  </si>
  <si>
    <t>ctrl63</t>
  </si>
  <si>
    <t>刘甜甜</t>
  </si>
  <si>
    <t>c88</t>
  </si>
  <si>
    <t>ctrl64</t>
  </si>
  <si>
    <t>葛梦蓓</t>
  </si>
  <si>
    <t>c89</t>
  </si>
  <si>
    <t>ctrl65</t>
  </si>
  <si>
    <t>李晓琴</t>
  </si>
  <si>
    <t>c61</t>
  </si>
  <si>
    <t>ctrl66</t>
  </si>
  <si>
    <t>姚君</t>
  </si>
  <si>
    <t>c63</t>
  </si>
  <si>
    <t>ctrl67</t>
  </si>
  <si>
    <t>查巧珍</t>
  </si>
  <si>
    <t>c64</t>
  </si>
  <si>
    <t>ctrl68</t>
  </si>
  <si>
    <t>覃利和</t>
  </si>
  <si>
    <t>c27</t>
  </si>
  <si>
    <t>ctrl69</t>
  </si>
  <si>
    <t>张烨烨</t>
  </si>
  <si>
    <t>c92</t>
  </si>
  <si>
    <t>ctrl70</t>
  </si>
  <si>
    <t>Age</t>
  </si>
  <si>
    <t>batchId</t>
  </si>
  <si>
    <t>cys</t>
  </si>
  <si>
    <t>b1-1</t>
  </si>
  <si>
    <t>b1-2</t>
  </si>
  <si>
    <t>b1-3</t>
  </si>
  <si>
    <t>b1-4</t>
  </si>
  <si>
    <t>b1-5</t>
  </si>
  <si>
    <t>b1-6</t>
  </si>
  <si>
    <t>b1-7</t>
  </si>
  <si>
    <t>b1-8</t>
  </si>
  <si>
    <t>b1-9</t>
  </si>
  <si>
    <t>b1-10</t>
  </si>
  <si>
    <t>ctrl</t>
  </si>
  <si>
    <t>b1-11</t>
  </si>
  <si>
    <t>b1-12</t>
  </si>
  <si>
    <t>b1-13</t>
  </si>
  <si>
    <t>b2-1</t>
  </si>
  <si>
    <t>b2-2</t>
  </si>
  <si>
    <t>b2-3</t>
  </si>
  <si>
    <t>b2-4</t>
  </si>
  <si>
    <t>b2-5</t>
  </si>
  <si>
    <t>b2-6</t>
  </si>
  <si>
    <t>b2-7</t>
  </si>
  <si>
    <t>b2-8</t>
  </si>
  <si>
    <t>b2-9</t>
  </si>
  <si>
    <t>b2-10</t>
  </si>
  <si>
    <t>b2-11</t>
  </si>
  <si>
    <t>b2-12</t>
  </si>
  <si>
    <t>b2-13</t>
  </si>
  <si>
    <t>b2-14</t>
  </si>
  <si>
    <t>b3-1</t>
  </si>
  <si>
    <t>b3-2</t>
  </si>
  <si>
    <t>b3-3</t>
  </si>
  <si>
    <t>b3-4</t>
  </si>
  <si>
    <t>b3-5</t>
  </si>
  <si>
    <t>b3-6</t>
  </si>
  <si>
    <t>b3-7</t>
  </si>
  <si>
    <t>b3-8</t>
  </si>
  <si>
    <t>b3-9</t>
  </si>
  <si>
    <t>b3-10</t>
  </si>
  <si>
    <t>b3-11</t>
  </si>
  <si>
    <t>b3-12</t>
  </si>
  <si>
    <t>b3-13</t>
  </si>
  <si>
    <t>b4-1</t>
  </si>
  <si>
    <t>b4-2</t>
  </si>
  <si>
    <t>b4-3</t>
  </si>
  <si>
    <t>b4-4</t>
  </si>
  <si>
    <t>b4-5</t>
  </si>
  <si>
    <t>b4-6</t>
  </si>
  <si>
    <t>b4-7</t>
  </si>
  <si>
    <t>b4-8</t>
  </si>
  <si>
    <t>b4-9</t>
  </si>
  <si>
    <t>b4-10</t>
  </si>
  <si>
    <t>b4-11</t>
  </si>
  <si>
    <t>b4-12</t>
  </si>
  <si>
    <t>b4-13</t>
  </si>
  <si>
    <t>b4-14</t>
  </si>
  <si>
    <t>b5-1</t>
  </si>
  <si>
    <t>b5-2</t>
  </si>
  <si>
    <t>b5-3</t>
  </si>
  <si>
    <t>b5-4</t>
  </si>
  <si>
    <t>b5-5</t>
  </si>
  <si>
    <t>b5-6</t>
  </si>
  <si>
    <t>b5-7</t>
  </si>
  <si>
    <t>b5-8</t>
  </si>
  <si>
    <t>b5-9</t>
  </si>
  <si>
    <t>b5-10</t>
  </si>
  <si>
    <t>b5-11</t>
  </si>
  <si>
    <t>b5-12</t>
  </si>
  <si>
    <t>b5-13</t>
  </si>
  <si>
    <t>b5-14</t>
  </si>
  <si>
    <t>b6-1</t>
  </si>
  <si>
    <t>b6-2</t>
  </si>
  <si>
    <t>b6-3</t>
  </si>
  <si>
    <t>b6-4</t>
  </si>
  <si>
    <t>b6-5</t>
  </si>
  <si>
    <t>b6-6</t>
  </si>
  <si>
    <t>b6-7</t>
  </si>
  <si>
    <t>b6-8</t>
  </si>
  <si>
    <t>b6-9</t>
  </si>
  <si>
    <t>b6-10</t>
  </si>
  <si>
    <t>b6-11</t>
  </si>
  <si>
    <t>b6-12</t>
  </si>
  <si>
    <t>b6-13</t>
  </si>
  <si>
    <t>b6-14</t>
  </si>
  <si>
    <t>b7-1</t>
  </si>
  <si>
    <t>b7-2</t>
  </si>
  <si>
    <t>b7-3</t>
  </si>
  <si>
    <t>b7-4</t>
  </si>
  <si>
    <t>b7-5</t>
  </si>
  <si>
    <t>b7-6</t>
  </si>
  <si>
    <t>b7-7</t>
  </si>
  <si>
    <t>b7-8</t>
  </si>
  <si>
    <t>b7-9</t>
  </si>
  <si>
    <t>b7-10</t>
  </si>
  <si>
    <t>b7-11</t>
  </si>
  <si>
    <t>b7-12</t>
  </si>
  <si>
    <t>b7-13</t>
  </si>
  <si>
    <t>b8-1</t>
  </si>
  <si>
    <t>b8-2</t>
  </si>
  <si>
    <t>b8-3</t>
  </si>
  <si>
    <t>b8-4</t>
  </si>
  <si>
    <t>b8-5</t>
  </si>
  <si>
    <t>b8-6</t>
  </si>
  <si>
    <t>b8-7</t>
  </si>
  <si>
    <t>b8-8</t>
  </si>
  <si>
    <t>b8-9</t>
  </si>
  <si>
    <t>b8-10</t>
  </si>
  <si>
    <t>b8-11</t>
  </si>
  <si>
    <t>b8-12</t>
  </si>
  <si>
    <t>b8-13</t>
  </si>
  <si>
    <t>b9-1</t>
  </si>
  <si>
    <t>b9-2</t>
  </si>
  <si>
    <t>b9-3</t>
  </si>
  <si>
    <t>b9-4</t>
  </si>
  <si>
    <t>b9-5</t>
  </si>
  <si>
    <t>b9-6</t>
  </si>
  <si>
    <t>b9-7</t>
  </si>
  <si>
    <t>b9-8</t>
  </si>
  <si>
    <t>b9-9</t>
  </si>
  <si>
    <t>b9-10</t>
  </si>
  <si>
    <t>b9-11</t>
  </si>
  <si>
    <t>b9-12</t>
  </si>
  <si>
    <t>b9-13</t>
  </si>
  <si>
    <t>b9-14</t>
  </si>
  <si>
    <t>b10-1</t>
  </si>
  <si>
    <t>b10-2</t>
  </si>
  <si>
    <t>b10-3</t>
  </si>
  <si>
    <t>b10-4</t>
  </si>
  <si>
    <t>b10-5</t>
  </si>
  <si>
    <t>b10-6</t>
  </si>
  <si>
    <t>b10-7</t>
  </si>
  <si>
    <t>b10-8</t>
  </si>
  <si>
    <t>b10-9</t>
  </si>
  <si>
    <t>b10-10</t>
  </si>
  <si>
    <t>b10-11</t>
  </si>
  <si>
    <t>b10-12</t>
  </si>
  <si>
    <t>b10-13</t>
  </si>
  <si>
    <t>b10-14</t>
  </si>
  <si>
    <t>b11-1</t>
  </si>
  <si>
    <t>b11-2</t>
  </si>
  <si>
    <t>b11-3</t>
  </si>
  <si>
    <t>b11-4</t>
  </si>
  <si>
    <t>b11-5</t>
  </si>
  <si>
    <t>b11-6</t>
  </si>
  <si>
    <t>b11-7</t>
  </si>
  <si>
    <t>b11-8</t>
  </si>
  <si>
    <t>b11-9</t>
  </si>
  <si>
    <t>b11-10</t>
  </si>
  <si>
    <t>b11-11</t>
  </si>
  <si>
    <t>b11-12</t>
  </si>
  <si>
    <t>b11-13</t>
  </si>
  <si>
    <t>b11-14</t>
  </si>
  <si>
    <t>b12-1</t>
  </si>
  <si>
    <t>b12-2</t>
  </si>
  <si>
    <t>b12-3</t>
  </si>
  <si>
    <t>b12-4</t>
  </si>
  <si>
    <t>b12-5</t>
  </si>
  <si>
    <t>b12-6</t>
  </si>
  <si>
    <t>b12-7</t>
  </si>
  <si>
    <t>b12-8</t>
  </si>
  <si>
    <t>b12-9</t>
  </si>
  <si>
    <t>b12-10</t>
  </si>
  <si>
    <t>b12-11</t>
  </si>
  <si>
    <t>b12-12</t>
  </si>
  <si>
    <t>b12-13</t>
  </si>
  <si>
    <t>b12-14</t>
  </si>
  <si>
    <t>b13-1</t>
  </si>
  <si>
    <t>b13-2</t>
  </si>
  <si>
    <t>b13-3</t>
  </si>
  <si>
    <t>b13-4</t>
  </si>
  <si>
    <t>b13-5</t>
  </si>
  <si>
    <t>b13-6</t>
  </si>
  <si>
    <t>b13-7</t>
  </si>
  <si>
    <t>b13-8</t>
  </si>
  <si>
    <t>b13-9</t>
  </si>
  <si>
    <t>b13-10</t>
  </si>
  <si>
    <t>b13-11</t>
  </si>
  <si>
    <t>b13-12</t>
  </si>
  <si>
    <t>b13-13</t>
  </si>
  <si>
    <t>b13-14</t>
  </si>
  <si>
    <t>b14-1</t>
  </si>
  <si>
    <t>b14-2</t>
  </si>
  <si>
    <t>b14-3</t>
  </si>
  <si>
    <t>b14-4</t>
  </si>
  <si>
    <t>b14-5</t>
  </si>
  <si>
    <t>b14-6</t>
  </si>
  <si>
    <t>b14-7</t>
  </si>
  <si>
    <t>b14-8</t>
  </si>
  <si>
    <t>b14-9</t>
  </si>
  <si>
    <t>b14-10</t>
  </si>
  <si>
    <t>b14-11</t>
  </si>
  <si>
    <t>b14-12</t>
  </si>
  <si>
    <t>b14-13</t>
  </si>
  <si>
    <t>b14-14</t>
  </si>
  <si>
    <t>b15-1</t>
  </si>
  <si>
    <t>b15-2</t>
  </si>
  <si>
    <t>b15-3</t>
  </si>
  <si>
    <t>b15-4</t>
  </si>
  <si>
    <t>b15-5</t>
  </si>
  <si>
    <t>b15-6</t>
  </si>
  <si>
    <t>b15-7</t>
  </si>
  <si>
    <t>b15-8</t>
  </si>
  <si>
    <t>b15-9</t>
  </si>
  <si>
    <t>b15-10</t>
  </si>
  <si>
    <t>b15-11</t>
  </si>
  <si>
    <t>b15-12</t>
  </si>
  <si>
    <t>b15-13</t>
  </si>
  <si>
    <t>b15-14</t>
  </si>
  <si>
    <t>b16-1</t>
  </si>
  <si>
    <t>b16-2</t>
  </si>
  <si>
    <t>b16-3</t>
  </si>
  <si>
    <t>b16-4</t>
  </si>
  <si>
    <t>b16-5</t>
  </si>
  <si>
    <t>b16-6</t>
  </si>
  <si>
    <t>b16-7</t>
  </si>
  <si>
    <t>b16-8</t>
  </si>
  <si>
    <t>b16-9</t>
  </si>
  <si>
    <t>b16-10</t>
  </si>
  <si>
    <t>b16-11</t>
  </si>
  <si>
    <t>b16-12</t>
  </si>
  <si>
    <t>b16-13</t>
  </si>
  <si>
    <t>b17-1</t>
  </si>
  <si>
    <t>b17-2</t>
  </si>
  <si>
    <t>b17-3</t>
  </si>
  <si>
    <t>b17-4</t>
  </si>
  <si>
    <t>b17-5</t>
  </si>
  <si>
    <t>b17-6</t>
  </si>
  <si>
    <t>b17-7</t>
  </si>
  <si>
    <t>b17-8</t>
  </si>
  <si>
    <t>b17-9</t>
  </si>
  <si>
    <t>b17-10</t>
  </si>
  <si>
    <t>b17-11</t>
  </si>
  <si>
    <t>b17-12</t>
  </si>
  <si>
    <t>b17-13</t>
  </si>
  <si>
    <t>b17-14</t>
  </si>
  <si>
    <t>b18-1</t>
  </si>
  <si>
    <t>b18-2</t>
  </si>
  <si>
    <t>b18-3</t>
  </si>
  <si>
    <t>b18-4</t>
  </si>
  <si>
    <t>b18-5</t>
  </si>
  <si>
    <t>b18-6</t>
  </si>
  <si>
    <t>b18-7</t>
  </si>
  <si>
    <t>b18-8</t>
  </si>
  <si>
    <t>b18-9</t>
  </si>
  <si>
    <t>b18-10</t>
  </si>
  <si>
    <t>b18-11</t>
  </si>
  <si>
    <t>b18-12</t>
  </si>
  <si>
    <t>b18-13</t>
  </si>
  <si>
    <t>b19-1</t>
  </si>
  <si>
    <t>b19-2</t>
  </si>
  <si>
    <t>b19-3</t>
  </si>
  <si>
    <t>b19-4</t>
  </si>
  <si>
    <t>b19-5</t>
  </si>
  <si>
    <t>b19-6</t>
  </si>
  <si>
    <t>b19-7</t>
  </si>
  <si>
    <t>b19-8</t>
  </si>
  <si>
    <t>b19-9</t>
  </si>
  <si>
    <t>b19-10</t>
  </si>
  <si>
    <t>b19-11</t>
  </si>
  <si>
    <t>b19-12</t>
  </si>
  <si>
    <t>b19-13</t>
  </si>
  <si>
    <t>b19-14</t>
  </si>
  <si>
    <t>b20-1</t>
  </si>
  <si>
    <t>b20-2</t>
  </si>
  <si>
    <t>b20-3</t>
  </si>
  <si>
    <t>b20-4</t>
  </si>
  <si>
    <t>b20-5</t>
  </si>
  <si>
    <t>b20-6</t>
  </si>
  <si>
    <t>b20-7</t>
  </si>
  <si>
    <t>b20-8</t>
  </si>
  <si>
    <t>b20-9</t>
  </si>
  <si>
    <t>b20-10</t>
  </si>
  <si>
    <t>b20-11</t>
  </si>
  <si>
    <t>b20-12</t>
  </si>
  <si>
    <t>b20-13</t>
  </si>
  <si>
    <t>b20-14</t>
  </si>
  <si>
    <t>b21-1</t>
  </si>
  <si>
    <t>b21-2</t>
  </si>
  <si>
    <t>b21-3</t>
  </si>
  <si>
    <t>b21-4</t>
  </si>
  <si>
    <t>b21-5</t>
  </si>
  <si>
    <t>b21-6</t>
  </si>
  <si>
    <t>b21-7</t>
  </si>
  <si>
    <t>b21-8</t>
  </si>
  <si>
    <t>b21-9</t>
  </si>
  <si>
    <t>b21-10</t>
  </si>
  <si>
    <t>b21-11</t>
  </si>
  <si>
    <t>b21-12</t>
  </si>
  <si>
    <t>b21-13</t>
  </si>
  <si>
    <t>b22-1</t>
  </si>
  <si>
    <t>b22-2</t>
  </si>
  <si>
    <t>b22-3</t>
  </si>
  <si>
    <t>b22-4</t>
  </si>
  <si>
    <t>b22-5</t>
  </si>
  <si>
    <t>b22-6</t>
  </si>
  <si>
    <t>b22-7</t>
  </si>
  <si>
    <t>b22-8</t>
  </si>
  <si>
    <t>b22-9</t>
  </si>
  <si>
    <t>b22-10</t>
  </si>
  <si>
    <t>b22-11</t>
  </si>
  <si>
    <t>b22-12</t>
  </si>
  <si>
    <t>b22-13</t>
  </si>
  <si>
    <t>b22-14</t>
  </si>
  <si>
    <t>b23-1</t>
  </si>
  <si>
    <t>b23-2</t>
  </si>
  <si>
    <t>b23-3</t>
  </si>
  <si>
    <t>b23-4</t>
  </si>
  <si>
    <t>b23-5</t>
  </si>
  <si>
    <t>b23-6</t>
  </si>
  <si>
    <t>b23-7</t>
  </si>
  <si>
    <t>b23-8</t>
  </si>
  <si>
    <t>b23-9</t>
  </si>
  <si>
    <t>b23-10</t>
  </si>
  <si>
    <t>b23-11</t>
  </si>
  <si>
    <t>b23-12</t>
  </si>
  <si>
    <t>b23-13</t>
  </si>
  <si>
    <t>batch</t>
  </si>
  <si>
    <t>1-1</t>
  </si>
  <si>
    <t>1-2</t>
  </si>
  <si>
    <t>溶血</t>
  </si>
  <si>
    <t>1-3</t>
  </si>
  <si>
    <t>1-4</t>
  </si>
  <si>
    <t>1-5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</si>
  <si>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</si>
  <si>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</si>
  <si>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</si>
  <si>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</si>
  <si>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</si>
  <si>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</si>
  <si>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</si>
  <si>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</si>
  <si>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</si>
  <si>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bio-rep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</si>
  <si>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</si>
  <si>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</si>
  <si>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</si>
  <si>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</si>
  <si>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</si>
  <si>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</si>
  <si>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</si>
  <si>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</si>
  <si>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</si>
  <si>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</si>
  <si>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2-11</t>
  </si>
  <si>
    <t>2-12</t>
  </si>
  <si>
    <t>2-13</t>
  </si>
  <si>
    <t>2-14</t>
  </si>
  <si>
    <t>3-1</t>
  </si>
  <si>
    <t>3-2</t>
  </si>
  <si>
    <t>3-3</t>
  </si>
  <si>
    <t>3-4</t>
  </si>
  <si>
    <t>3-5</t>
  </si>
  <si>
    <t>3-6</t>
  </si>
  <si>
    <t>3-7</t>
  </si>
  <si>
    <t>缺</t>
  </si>
  <si>
    <t>3-8</t>
  </si>
  <si>
    <t>3-9</t>
  </si>
  <si>
    <t>3-10</t>
  </si>
  <si>
    <t>3-11</t>
  </si>
  <si>
    <t>3-12</t>
  </si>
  <si>
    <t>3-13</t>
  </si>
  <si>
    <t>3-14</t>
  </si>
  <si>
    <t>23-6</t>
  </si>
  <si>
    <t>4-1</t>
  </si>
  <si>
    <t>4-2</t>
  </si>
  <si>
    <t>4-3</t>
  </si>
  <si>
    <t>4-4</t>
  </si>
  <si>
    <t>4-5</t>
  </si>
  <si>
    <t>4-6</t>
  </si>
  <si>
    <t>4-7</t>
  </si>
  <si>
    <t>4-8</t>
  </si>
  <si>
    <t>4-9</t>
  </si>
  <si>
    <t>4-10</t>
  </si>
  <si>
    <t>4-11</t>
  </si>
  <si>
    <t>4-12</t>
  </si>
  <si>
    <t>4-13</t>
  </si>
  <si>
    <t>4-14</t>
  </si>
  <si>
    <t>5-1</t>
  </si>
  <si>
    <t>5-2</t>
  </si>
  <si>
    <t>5-3</t>
  </si>
  <si>
    <t>5-4</t>
  </si>
  <si>
    <t>5-5</t>
  </si>
  <si>
    <t>5-6</t>
  </si>
  <si>
    <t>5-7</t>
  </si>
  <si>
    <t>5-8</t>
  </si>
  <si>
    <t>5-9</t>
  </si>
  <si>
    <t>5-10</t>
  </si>
  <si>
    <t>5-11</t>
  </si>
  <si>
    <t>5-12</t>
  </si>
  <si>
    <t>5-13</t>
  </si>
  <si>
    <t>5-14</t>
  </si>
  <si>
    <t>6-1</t>
  </si>
  <si>
    <t>6-2</t>
  </si>
  <si>
    <t>6-3</t>
  </si>
  <si>
    <t>6-4</t>
  </si>
  <si>
    <t>6-5</t>
  </si>
  <si>
    <t>6-6</t>
  </si>
  <si>
    <t>6-7</t>
  </si>
  <si>
    <t>6-8</t>
  </si>
  <si>
    <t>6-9</t>
  </si>
  <si>
    <t>6-10</t>
  </si>
  <si>
    <t>6-11</t>
  </si>
  <si>
    <t>6-12</t>
  </si>
  <si>
    <t>6-13</t>
  </si>
  <si>
    <t>6-14</t>
  </si>
  <si>
    <t>7-1</t>
  </si>
  <si>
    <t>7-2</t>
  </si>
  <si>
    <t>7-3</t>
  </si>
  <si>
    <t>7-4</t>
  </si>
  <si>
    <t>7-5</t>
  </si>
  <si>
    <t>7-6</t>
  </si>
  <si>
    <t>7-7</t>
  </si>
  <si>
    <t>7-8</t>
  </si>
  <si>
    <t>7-9</t>
  </si>
  <si>
    <t>7-10</t>
  </si>
  <si>
    <t>7-11</t>
  </si>
  <si>
    <t>7-12</t>
  </si>
  <si>
    <t>7-13</t>
  </si>
  <si>
    <t>7-14</t>
  </si>
  <si>
    <t>8-1</t>
  </si>
  <si>
    <t>8-2</t>
  </si>
  <si>
    <t>8-3</t>
  </si>
  <si>
    <t>8-4</t>
  </si>
  <si>
    <t>8-5</t>
  </si>
  <si>
    <t>8-6</t>
  </si>
  <si>
    <t>8-7</t>
  </si>
  <si>
    <t>8-8</t>
  </si>
  <si>
    <t>8-9</t>
  </si>
  <si>
    <t>8-10</t>
  </si>
  <si>
    <t>8-11</t>
  </si>
  <si>
    <t>8-12</t>
  </si>
  <si>
    <t>8-13</t>
  </si>
  <si>
    <t>8-14</t>
  </si>
  <si>
    <t>9-1</t>
  </si>
  <si>
    <t>9-2</t>
  </si>
  <si>
    <t>9-3</t>
  </si>
  <si>
    <t>9-4</t>
  </si>
  <si>
    <t>9-5</t>
  </si>
  <si>
    <t>9-6</t>
  </si>
  <si>
    <t>9-7</t>
  </si>
  <si>
    <t>9-8</t>
  </si>
  <si>
    <t>9-9</t>
  </si>
  <si>
    <t>9-10</t>
  </si>
  <si>
    <t>9-11</t>
  </si>
  <si>
    <t>9-12</t>
  </si>
  <si>
    <t>9-13</t>
  </si>
  <si>
    <t>9-14</t>
  </si>
  <si>
    <t>10-1</t>
  </si>
  <si>
    <t>10-2</t>
  </si>
  <si>
    <t>10-3</t>
  </si>
  <si>
    <t>10-4</t>
  </si>
  <si>
    <t>10-5</t>
  </si>
  <si>
    <t>10-6</t>
  </si>
  <si>
    <t>10-7</t>
  </si>
  <si>
    <t>10-8</t>
  </si>
  <si>
    <t>10-9</t>
  </si>
  <si>
    <t>10-10</t>
  </si>
  <si>
    <t>10-11</t>
  </si>
  <si>
    <t>10-12</t>
  </si>
  <si>
    <t>10-13</t>
  </si>
  <si>
    <t>10-14</t>
  </si>
  <si>
    <t>11-1</t>
  </si>
  <si>
    <t>11-2</t>
  </si>
  <si>
    <t>11-3</t>
  </si>
  <si>
    <t>11-4</t>
  </si>
  <si>
    <t>11-5</t>
  </si>
  <si>
    <t>11-6</t>
  </si>
  <si>
    <t>11-7</t>
  </si>
  <si>
    <t>11-8</t>
  </si>
  <si>
    <t>11-9</t>
  </si>
  <si>
    <t>11-10</t>
  </si>
  <si>
    <t>11-11</t>
  </si>
  <si>
    <t>11-12</t>
  </si>
  <si>
    <t>11-13</t>
  </si>
  <si>
    <t>11-14</t>
  </si>
  <si>
    <t>12-1</t>
  </si>
  <si>
    <t>12-2</t>
  </si>
  <si>
    <t>12-3</t>
  </si>
  <si>
    <t>12-4</t>
  </si>
  <si>
    <t>12-5</t>
  </si>
  <si>
    <t>12-6</t>
  </si>
  <si>
    <t>12-7</t>
  </si>
  <si>
    <t>12-8</t>
  </si>
  <si>
    <t>12-9</t>
  </si>
  <si>
    <t>12-10</t>
  </si>
  <si>
    <t>12-11</t>
  </si>
  <si>
    <t>12-12</t>
  </si>
  <si>
    <t>12-13</t>
  </si>
  <si>
    <t>12-14</t>
  </si>
  <si>
    <t>13-1</t>
  </si>
  <si>
    <t>13-2</t>
  </si>
  <si>
    <t>13-3</t>
  </si>
  <si>
    <t>13-4</t>
  </si>
  <si>
    <t>13-5</t>
  </si>
  <si>
    <t>13-6</t>
  </si>
  <si>
    <t>13-7</t>
  </si>
  <si>
    <t>13-8</t>
  </si>
  <si>
    <t>13-9</t>
  </si>
  <si>
    <t>13-10</t>
  </si>
  <si>
    <t>13-11</t>
  </si>
  <si>
    <t>13-12</t>
  </si>
  <si>
    <t>13-13</t>
  </si>
  <si>
    <t>13-14</t>
  </si>
  <si>
    <t>14-1</t>
  </si>
  <si>
    <t>14-2</t>
  </si>
  <si>
    <t>14-3</t>
  </si>
  <si>
    <t>14-4</t>
  </si>
  <si>
    <t>14-5</t>
  </si>
  <si>
    <t>14-6</t>
  </si>
  <si>
    <t>14-7</t>
  </si>
  <si>
    <t>14-8</t>
  </si>
  <si>
    <t>14-9</t>
  </si>
  <si>
    <t>14-10</t>
  </si>
  <si>
    <t>14-11</t>
  </si>
  <si>
    <t>14-12</t>
  </si>
  <si>
    <t>14-13</t>
  </si>
  <si>
    <t>14-14</t>
  </si>
  <si>
    <t>15-1</t>
  </si>
  <si>
    <t>15-2</t>
  </si>
  <si>
    <t>15-3</t>
  </si>
  <si>
    <t>15-4</t>
  </si>
  <si>
    <t>15-5</t>
  </si>
  <si>
    <t>15-6</t>
  </si>
  <si>
    <t>15-7</t>
  </si>
  <si>
    <t>15-8</t>
  </si>
  <si>
    <t>15-9</t>
  </si>
  <si>
    <t>15-10</t>
  </si>
  <si>
    <t>15-11</t>
  </si>
  <si>
    <t>15-12</t>
  </si>
  <si>
    <t>15-13</t>
  </si>
  <si>
    <t>15-14</t>
  </si>
  <si>
    <t>16-1</t>
  </si>
  <si>
    <t>16-2</t>
  </si>
  <si>
    <t>16-3</t>
  </si>
  <si>
    <t>16-4</t>
  </si>
  <si>
    <t>16-5</t>
  </si>
  <si>
    <t>16-6</t>
  </si>
  <si>
    <t>16-7</t>
  </si>
  <si>
    <t>16-8</t>
  </si>
  <si>
    <t>16-9</t>
  </si>
  <si>
    <t>16-10</t>
  </si>
  <si>
    <t>16-11</t>
  </si>
  <si>
    <t>16-12</t>
  </si>
  <si>
    <t>16-13</t>
  </si>
  <si>
    <t>16-14</t>
  </si>
  <si>
    <t>17-1</t>
  </si>
  <si>
    <t>17-2</t>
  </si>
  <si>
    <t>17-3</t>
  </si>
  <si>
    <t>17-4</t>
  </si>
  <si>
    <t>17-5</t>
  </si>
  <si>
    <t>17-6</t>
  </si>
  <si>
    <t>17-7</t>
  </si>
  <si>
    <t>17-8</t>
  </si>
  <si>
    <t>17-9</t>
  </si>
  <si>
    <t>17-10</t>
  </si>
  <si>
    <t>17-11</t>
  </si>
  <si>
    <t>17-12</t>
  </si>
  <si>
    <t>17-13</t>
  </si>
  <si>
    <t>17-14</t>
  </si>
  <si>
    <t>18-1</t>
  </si>
  <si>
    <t>18-2</t>
  </si>
  <si>
    <t>18-3</t>
  </si>
  <si>
    <t>18-4</t>
  </si>
  <si>
    <t>18-5</t>
  </si>
  <si>
    <t>18-6</t>
  </si>
  <si>
    <t>18-7</t>
  </si>
  <si>
    <t>18-8</t>
  </si>
  <si>
    <t>18-9</t>
  </si>
  <si>
    <t>18-10</t>
  </si>
  <si>
    <t>18-11</t>
  </si>
  <si>
    <t>18-12</t>
  </si>
  <si>
    <t>18-13</t>
  </si>
  <si>
    <t>18-14</t>
  </si>
  <si>
    <t>19-1</t>
  </si>
  <si>
    <t>19-2</t>
  </si>
  <si>
    <t>19-3</t>
  </si>
  <si>
    <t>19-4</t>
  </si>
  <si>
    <t>19-5</t>
  </si>
  <si>
    <t>19-6</t>
  </si>
  <si>
    <t>19-7</t>
  </si>
  <si>
    <t>19-8</t>
  </si>
  <si>
    <t>19-9</t>
  </si>
  <si>
    <t>19-10</t>
  </si>
  <si>
    <t>19-11</t>
  </si>
  <si>
    <t>19-12</t>
  </si>
  <si>
    <t>19-13</t>
  </si>
  <si>
    <t>19-14</t>
  </si>
  <si>
    <t>20-1</t>
  </si>
  <si>
    <t>20-2</t>
  </si>
  <si>
    <t>20-3</t>
  </si>
  <si>
    <t>20-4</t>
  </si>
  <si>
    <t>20-5</t>
  </si>
  <si>
    <t>20-6</t>
  </si>
  <si>
    <t>20-7</t>
  </si>
  <si>
    <t>20-8</t>
  </si>
  <si>
    <t>20-9</t>
  </si>
  <si>
    <t>20-10</t>
  </si>
  <si>
    <t>20-11</t>
  </si>
  <si>
    <t>20-12</t>
  </si>
  <si>
    <t>20-13</t>
  </si>
  <si>
    <t>20-14</t>
  </si>
  <si>
    <t>21-1</t>
  </si>
  <si>
    <t>21-2</t>
  </si>
  <si>
    <t>21-3</t>
  </si>
  <si>
    <t>21-4</t>
  </si>
  <si>
    <t>21-5</t>
  </si>
  <si>
    <t>21-6</t>
  </si>
  <si>
    <t>21-7</t>
  </si>
  <si>
    <t>21-8</t>
  </si>
  <si>
    <t>21-9</t>
  </si>
  <si>
    <t>21-10</t>
  </si>
  <si>
    <t>21-11</t>
  </si>
  <si>
    <t>21-12</t>
  </si>
  <si>
    <t>21-13</t>
  </si>
  <si>
    <t>21-14</t>
  </si>
  <si>
    <t>22-1</t>
  </si>
  <si>
    <t>22-2</t>
  </si>
  <si>
    <t>22-3</t>
  </si>
  <si>
    <t>22-4</t>
  </si>
  <si>
    <t>22-5</t>
  </si>
  <si>
    <t>22-6</t>
  </si>
  <si>
    <t>22-7</t>
  </si>
  <si>
    <t>22-8</t>
  </si>
  <si>
    <t>22-9</t>
  </si>
  <si>
    <t>22-10</t>
  </si>
  <si>
    <t>22-11</t>
  </si>
  <si>
    <t>22-12</t>
  </si>
  <si>
    <t>22-13</t>
  </si>
  <si>
    <t>22-14</t>
  </si>
  <si>
    <t>23-1</t>
  </si>
  <si>
    <t>23-2</t>
  </si>
  <si>
    <t>23-3</t>
  </si>
  <si>
    <t>23-4</t>
  </si>
  <si>
    <t>23-5</t>
  </si>
  <si>
    <t>23-7</t>
  </si>
  <si>
    <t>23-8</t>
  </si>
  <si>
    <t>23-9</t>
  </si>
  <si>
    <t>23-10</t>
  </si>
  <si>
    <t>23-11</t>
  </si>
  <si>
    <t>23-12</t>
  </si>
  <si>
    <t>23-13</t>
  </si>
  <si>
    <t>23-14</t>
  </si>
  <si>
    <t>is_tech</t>
  </si>
  <si>
    <t>b16-14</t>
  </si>
  <si>
    <t>B16-6techrep</t>
  </si>
  <si>
    <t>b1-14</t>
  </si>
  <si>
    <t>b3-14</t>
  </si>
  <si>
    <t>b21-14</t>
  </si>
  <si>
    <t>b18-14</t>
  </si>
  <si>
    <t>b7-14</t>
  </si>
  <si>
    <t>b7-7techrep</t>
  </si>
  <si>
    <t>b12-15</t>
  </si>
  <si>
    <t>B12-1techrep</t>
  </si>
  <si>
    <t>m</t>
  </si>
  <si>
    <t>m</t>
    <phoneticPr fontId="10" type="noConversion"/>
  </si>
  <si>
    <t>n</t>
    <phoneticPr fontId="10" type="noConversion"/>
  </si>
  <si>
    <t>m</t>
    <phoneticPr fontId="12" type="noConversion"/>
  </si>
  <si>
    <t>sampleIm</t>
  </si>
  <si>
    <t>batchIm</t>
  </si>
  <si>
    <t>d</t>
    <phoneticPr fontId="12" type="noConversion"/>
  </si>
  <si>
    <t>n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</si>
</sst>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SimSun"/>
      <charset val="134"/>
    </font>
    <font>
      <sz val="12"/>
      <color theme="1"/>
      <name val="DengXian"/>
      <charset val="134"/>
    </font>
    <font>
      <sz val="12"/>
      <name val="宋体"/>
      <charset val="134"/>
    </font>
    <font>
      <sz val="11"/>
      <color theme="1"/>
      <name val="DengXian"/>
      <charset val="134"/>
    </font>
    <font>
      <sz val="11"/>
      <color theme="1"/>
      <name val="Helvetica"/>
      <family val="2"/>
    </font>
    <font>
      <sz val="10"/>
      <color theme="1"/>
      <name val="Arial"/>
      <family val="2"/>
    </font>
    <font>
      <sz val="11"/>
      <color rgb="FF339966"/>
      <name val="DengXian"/>
      <charset val="134"/>
    </font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9" fillId="0" borderId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>
      <alignment vertical="center"/>
    </xf>
    <xf numFmtId="49" fontId="0" fillId="0" borderId="0" xfId="0" applyNumberFormat="1">
      <alignment vertical="center"/>
    </xf>
    <xf numFmtId="0" fontId="0" fillId="3" borderId="0" xfId="0" applyFill="1">
      <alignment vertical="center"/>
    </xf>
    <xf numFmtId="49" fontId="0" fillId="3" borderId="0" xfId="0" applyNumberFormat="1" applyFill="1">
      <alignment vertical="center"/>
    </xf>
    <xf numFmtId="49" fontId="0" fillId="2" borderId="0" xfId="0" applyNumberFormat="1" applyFill="1">
      <alignment vertical="center"/>
    </xf>
    <xf numFmtId="0" fontId="0" fillId="4" borderId="0" xfId="0" applyFill="1">
      <alignment vertical="center"/>
    </xf>
    <xf numFmtId="49" fontId="0" fillId="4" borderId="0" xfId="0" applyNumberFormat="1" applyFill="1">
      <alignment vertical="center"/>
    </xf>
    <xf numFmtId="0" fontId="1" fillId="4" borderId="0" xfId="0" applyFont="1" applyFill="1">
      <alignment vertical="center"/>
    </xf>
    <xf numFmtId="0" fontId="1" fillId="0" borderId="0" xfId="0" applyFont="1">
      <alignment vertical="center"/>
    </xf>
    <xf numFmtId="0" fontId="0" fillId="5" borderId="0" xfId="0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/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9" fillId="0" borderId="0" xfId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8" fillId="0" borderId="0" xfId="0" applyFont="1">
      <alignment vertical="center"/>
    </xf>
    <xf numFmtId="0" fontId="11" fillId="0" borderId="0" xfId="0" applyFont="1">
      <alignment vertical="center"/>
    </xf>
  </cellXfs>
  <cellStyles count="2">
    <cellStyle name="常规" xfId="0" builtinId="0"/>
    <cellStyle name="常规 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atch_mesign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tch_mesign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5"/>
  <sheetViews>
    <sheetView topLeftCell="A43" workbookViewId="0">
      <selection activeCell="H114" sqref="H114"/>
    </sheetView>
  </sheetViews>
  <sheetFormatPr defaultColWidth="8.875" defaultRowHeight="14.25"/>
  <cols>
    <col min="2" max="2" width="7.625" customWidth="1"/>
    <col min="3" max="3" width="31.625" customWidth="1"/>
  </cols>
  <sheetData>
    <row r="1" spans="1:9">
      <c r="A1" t="s">
        <v>0</v>
      </c>
      <c r="B1" t="s">
        <v>1</v>
      </c>
      <c r="C1" t="s">
        <v>2</v>
      </c>
      <c r="F1" t="s">
        <v>3</v>
      </c>
      <c r="G1" t="s">
        <v>4</v>
      </c>
      <c r="H1" t="s">
        <v>5</v>
      </c>
      <c r="I1" t="s">
        <v>6</v>
      </c>
    </row>
    <row r="2" spans="1:9">
      <c r="A2" t="s">
        <v>7</v>
      </c>
      <c r="B2">
        <v>64</v>
      </c>
      <c r="C2" t="s">
        <v>8</v>
      </c>
      <c r="F2" t="s">
        <v>9</v>
      </c>
      <c r="G2" t="s">
        <v>10</v>
      </c>
      <c r="H2" t="s">
        <v>11</v>
      </c>
      <c r="I2" t="str">
        <f>VLOOKUP(A2,训练集亚型!$A$1:$F$1000,4,0)</f>
        <v>a</v>
      </c>
    </row>
    <row r="3" spans="1:9">
      <c r="A3" t="s">
        <v>12</v>
      </c>
      <c r="B3">
        <v>71</v>
      </c>
      <c r="C3" t="s">
        <v>13</v>
      </c>
      <c r="F3" t="s">
        <v>14</v>
      </c>
      <c r="G3" t="s">
        <v>15</v>
      </c>
      <c r="H3" t="s">
        <v>16</v>
      </c>
      <c r="I3" t="str">
        <f>VLOOKUP(A3,训练集亚型!$A$1:$F$1000,4,0)</f>
        <v>a</v>
      </c>
    </row>
    <row r="4" spans="1:9">
      <c r="A4" t="s">
        <v>17</v>
      </c>
      <c r="B4">
        <v>56</v>
      </c>
      <c r="C4" t="s">
        <v>18</v>
      </c>
      <c r="F4" t="s">
        <v>19</v>
      </c>
      <c r="G4" t="s">
        <v>20</v>
      </c>
      <c r="H4" t="s">
        <v>21</v>
      </c>
      <c r="I4" t="str">
        <f>VLOOKUP(A4,训练集亚型!$A$1:$F$1000,4,0)</f>
        <v>a</v>
      </c>
    </row>
    <row r="5" spans="1:9">
      <c r="A5" t="s">
        <v>22</v>
      </c>
      <c r="B5">
        <v>49</v>
      </c>
      <c r="C5" t="s">
        <v>8</v>
      </c>
      <c r="F5" t="s">
        <v>23</v>
      </c>
      <c r="G5" t="s">
        <v>24</v>
      </c>
      <c r="H5" t="s">
        <v>25</v>
      </c>
      <c r="I5" t="str">
        <f>VLOOKUP(A5,训练集亚型!$A$1:$F$1000,4,0)</f>
        <v>a</v>
      </c>
    </row>
    <row r="6" spans="1:9">
      <c r="A6" t="s">
        <v>35</v>
      </c>
      <c r="B6">
        <v>66</v>
      </c>
      <c r="C6" t="s">
        <v>8</v>
      </c>
      <c r="G6" t="s">
        <v>36</v>
      </c>
      <c r="H6" t="s">
        <v>37</v>
      </c>
      <c r="I6" t="str">
        <f>VLOOKUP(A6,训练集亚型!$A$1:$F$1000,4,0)</f>
        <v>a</v>
      </c>
    </row>
    <row r="7" spans="1:9">
      <c r="A7" t="s">
        <v>38</v>
      </c>
      <c r="B7">
        <v>56</v>
      </c>
      <c r="C7" t="s">
        <v>8</v>
      </c>
      <c r="F7" t="s">
        <v>39</v>
      </c>
      <c r="G7" t="s">
        <v>40</v>
      </c>
      <c r="H7" t="s">
        <v>41</v>
      </c>
      <c r="I7" t="str">
        <f>VLOOKUP(A7,训练集亚型!$A$1:$F$1000,4,0)</f>
        <v>a</v>
      </c>
    </row>
    <row r="8" spans="1:9">
      <c r="A8" t="s">
        <v>47</v>
      </c>
      <c r="B8">
        <v>50</v>
      </c>
      <c r="C8" t="s">
        <v>48</v>
      </c>
      <c r="F8" t="s">
        <v>49</v>
      </c>
      <c r="G8" t="s">
        <v>50</v>
      </c>
      <c r="H8" t="s">
        <v>51</v>
      </c>
      <c r="I8" t="str">
        <f>VLOOKUP(A8,训练集亚型!$A$1:$F$1000,4,0)</f>
        <v>a</v>
      </c>
    </row>
    <row r="9" spans="1:9">
      <c r="A9" t="s">
        <v>52</v>
      </c>
      <c r="B9">
        <v>50</v>
      </c>
      <c r="C9" t="s">
        <v>53</v>
      </c>
      <c r="F9" t="s">
        <v>54</v>
      </c>
      <c r="G9" t="s">
        <v>55</v>
      </c>
      <c r="H9" t="s">
        <v>56</v>
      </c>
      <c r="I9" t="str">
        <f>VLOOKUP(A9,训练集亚型!$A$1:$F$1000,4,0)</f>
        <v>a</v>
      </c>
    </row>
    <row r="10" spans="1:9">
      <c r="A10" t="s">
        <v>57</v>
      </c>
      <c r="B10">
        <v>61</v>
      </c>
      <c r="C10" t="s">
        <v>58</v>
      </c>
      <c r="F10" t="s">
        <v>59</v>
      </c>
      <c r="G10" t="s">
        <v>60</v>
      </c>
      <c r="H10" t="s">
        <v>61</v>
      </c>
      <c r="I10" t="str">
        <f>VLOOKUP(A10,训练集亚型!$A$1:$F$1000,4,0)</f>
        <v>a</v>
      </c>
    </row>
    <row r="11" spans="1:9">
      <c r="A11" t="s">
        <v>62</v>
      </c>
      <c r="B11">
        <v>45</v>
      </c>
      <c r="C11" t="s">
        <v>63</v>
      </c>
      <c r="F11" t="s">
        <v>64</v>
      </c>
      <c r="G11" t="s">
        <v>65</v>
      </c>
      <c r="H11" t="s">
        <v>66</v>
      </c>
      <c r="I11" t="str">
        <f>VLOOKUP(A11,训练集亚型!$A$1:$F$1000,4,0)</f>
        <v>a</v>
      </c>
    </row>
    <row r="12" spans="1:9">
      <c r="A12" t="s">
        <v>72</v>
      </c>
      <c r="B12">
        <v>47</v>
      </c>
      <c r="C12" t="s">
        <v>73</v>
      </c>
      <c r="F12" t="s">
        <v>74</v>
      </c>
      <c r="G12" t="s">
        <v>75</v>
      </c>
      <c r="H12" t="s">
        <v>76</v>
      </c>
      <c r="I12" t="str">
        <f>VLOOKUP(A12,训练集亚型!$A$1:$F$1000,4,0)</f>
        <v>a</v>
      </c>
    </row>
    <row r="13" spans="1:9">
      <c r="A13" t="s">
        <v>82</v>
      </c>
      <c r="B13">
        <v>66</v>
      </c>
      <c r="C13" t="s">
        <v>83</v>
      </c>
      <c r="F13" t="s">
        <v>84</v>
      </c>
      <c r="G13" t="s">
        <v>85</v>
      </c>
      <c r="H13" t="s">
        <v>86</v>
      </c>
      <c r="I13" t="str">
        <f>VLOOKUP(A13,训练集亚型!$A$1:$F$1000,4,0)</f>
        <v>a</v>
      </c>
    </row>
    <row r="14" spans="1:9">
      <c r="A14" t="s">
        <v>87</v>
      </c>
      <c r="B14">
        <v>63</v>
      </c>
      <c r="C14" t="s">
        <v>88</v>
      </c>
      <c r="F14" t="s">
        <v>89</v>
      </c>
      <c r="G14" t="s">
        <v>90</v>
      </c>
      <c r="H14" t="s">
        <v>91</v>
      </c>
      <c r="I14" t="str">
        <f>VLOOKUP(A14,训练集亚型!$A$1:$F$1000,4,0)</f>
        <v>a</v>
      </c>
    </row>
    <row r="15" spans="1:9">
      <c r="A15" t="s">
        <v>92</v>
      </c>
      <c r="B15">
        <v>42</v>
      </c>
      <c r="C15" t="s">
        <v>93</v>
      </c>
      <c r="F15" t="s">
        <v>94</v>
      </c>
      <c r="G15" t="s">
        <v>95</v>
      </c>
      <c r="H15" t="s">
        <v>96</v>
      </c>
      <c r="I15" t="str">
        <f>VLOOKUP(A15,训练集亚型!$A$1:$F$1000,4,0)</f>
        <v>a</v>
      </c>
    </row>
    <row r="16" spans="1:9">
      <c r="A16" t="s">
        <v>97</v>
      </c>
      <c r="B16">
        <v>55</v>
      </c>
      <c r="C16" t="s">
        <v>98</v>
      </c>
      <c r="F16" t="s">
        <v>99</v>
      </c>
      <c r="G16" t="s">
        <v>100</v>
      </c>
      <c r="H16" t="s">
        <v>101</v>
      </c>
      <c r="I16" t="str">
        <f>VLOOKUP(A16,训练集亚型!$A$1:$F$1000,4,0)</f>
        <v>a</v>
      </c>
    </row>
    <row r="17" spans="1:9">
      <c r="A17" t="s">
        <v>102</v>
      </c>
      <c r="B17">
        <v>67</v>
      </c>
      <c r="C17" t="s">
        <v>103</v>
      </c>
      <c r="F17" t="s">
        <v>104</v>
      </c>
      <c r="G17" t="s">
        <v>105</v>
      </c>
      <c r="H17" t="s">
        <v>106</v>
      </c>
      <c r="I17" t="str">
        <f>VLOOKUP(A17,训练集亚型!$A$1:$F$1000,4,0)</f>
        <v>a</v>
      </c>
    </row>
    <row r="18" spans="1:9">
      <c r="A18" t="s">
        <v>107</v>
      </c>
      <c r="B18">
        <v>51</v>
      </c>
      <c r="C18" t="s">
        <v>108</v>
      </c>
      <c r="F18" t="s">
        <v>109</v>
      </c>
      <c r="G18" t="s">
        <v>110</v>
      </c>
      <c r="H18" t="s">
        <v>111</v>
      </c>
      <c r="I18" t="str">
        <f>VLOOKUP(A18,训练集亚型!$A$1:$F$1000,4,0)</f>
        <v>a</v>
      </c>
    </row>
    <row r="19" spans="1:9">
      <c r="A19" t="s">
        <v>112</v>
      </c>
      <c r="B19">
        <v>42</v>
      </c>
      <c r="C19" t="s">
        <v>113</v>
      </c>
      <c r="G19" t="s">
        <v>114</v>
      </c>
      <c r="H19" t="s">
        <v>115</v>
      </c>
      <c r="I19" t="str">
        <f>VLOOKUP(A19,训练集亚型!$A$1:$F$1000,4,0)</f>
        <v>a</v>
      </c>
    </row>
    <row r="20" spans="1:9">
      <c r="A20" t="s">
        <v>116</v>
      </c>
      <c r="B20">
        <v>69</v>
      </c>
      <c r="C20" t="s">
        <v>117</v>
      </c>
      <c r="G20" t="s">
        <v>118</v>
      </c>
      <c r="H20" t="s">
        <v>119</v>
      </c>
      <c r="I20" t="str">
        <f>VLOOKUP(A20,训练集亚型!$A$1:$F$1000,4,0)</f>
        <v>a</v>
      </c>
    </row>
    <row r="21" spans="1:9">
      <c r="A21" t="s">
        <v>120</v>
      </c>
      <c r="B21">
        <v>48</v>
      </c>
      <c r="C21" t="s">
        <v>121</v>
      </c>
      <c r="G21" t="s">
        <v>122</v>
      </c>
      <c r="H21" t="s">
        <v>123</v>
      </c>
      <c r="I21" t="str">
        <f>VLOOKUP(A21,训练集亚型!$A$1:$F$1000,4,0)</f>
        <v>a</v>
      </c>
    </row>
    <row r="22" spans="1:9">
      <c r="A22" t="s">
        <v>140</v>
      </c>
      <c r="B22">
        <v>60</v>
      </c>
      <c r="C22" t="s">
        <v>141</v>
      </c>
      <c r="F22" t="s">
        <v>142</v>
      </c>
      <c r="H22" t="s">
        <v>143</v>
      </c>
      <c r="I22" t="str">
        <f>VLOOKUP(A22,训练集亚型!$A$1:$F$1000,4,0)</f>
        <v>a</v>
      </c>
    </row>
    <row r="23" spans="1:9">
      <c r="A23" t="s">
        <v>160</v>
      </c>
      <c r="B23">
        <v>44</v>
      </c>
      <c r="C23" t="s">
        <v>161</v>
      </c>
      <c r="F23" t="s">
        <v>162</v>
      </c>
      <c r="H23" t="s">
        <v>163</v>
      </c>
      <c r="I23" t="str">
        <f>VLOOKUP(A23,训练集亚型!$A$1:$F$1000,4,0)</f>
        <v>a</v>
      </c>
    </row>
    <row r="24" spans="1:9">
      <c r="A24" t="s">
        <v>172</v>
      </c>
      <c r="B24">
        <v>51</v>
      </c>
      <c r="C24" t="s">
        <v>173</v>
      </c>
      <c r="F24" t="s">
        <v>174</v>
      </c>
      <c r="H24" t="s">
        <v>175</v>
      </c>
      <c r="I24" t="str">
        <f>VLOOKUP(A24,训练集亚型!$A$1:$F$1000,4,0)</f>
        <v>a</v>
      </c>
    </row>
    <row r="25" spans="1:9">
      <c r="A25" t="s">
        <v>180</v>
      </c>
      <c r="B25">
        <v>63</v>
      </c>
      <c r="C25" t="s">
        <v>181</v>
      </c>
      <c r="F25" t="s">
        <v>182</v>
      </c>
      <c r="H25" t="s">
        <v>183</v>
      </c>
      <c r="I25" t="str">
        <f>VLOOKUP(A25,训练集亚型!$A$1:$F$1000,4,0)</f>
        <v>a</v>
      </c>
    </row>
    <row r="26" spans="1:9">
      <c r="A26" t="s">
        <v>184</v>
      </c>
      <c r="B26">
        <v>54</v>
      </c>
      <c r="C26" t="s">
        <v>185</v>
      </c>
      <c r="F26" t="s">
        <v>186</v>
      </c>
      <c r="H26" t="s">
        <v>187</v>
      </c>
      <c r="I26" t="str">
        <f>VLOOKUP(A26,训练集亚型!$A$1:$F$1000,4,0)</f>
        <v>a</v>
      </c>
    </row>
    <row r="27" spans="1:9">
      <c r="A27" t="s">
        <v>196</v>
      </c>
      <c r="B27">
        <v>65</v>
      </c>
      <c r="C27" t="s">
        <v>197</v>
      </c>
      <c r="F27" t="s">
        <v>198</v>
      </c>
      <c r="H27" t="s">
        <v>199</v>
      </c>
      <c r="I27" t="str">
        <f>VLOOKUP(A27,训练集亚型!$A$1:$F$1000,4,0)</f>
        <v>a</v>
      </c>
    </row>
    <row r="28" spans="1:9">
      <c r="A28" t="s">
        <v>212</v>
      </c>
      <c r="B28">
        <v>68</v>
      </c>
      <c r="C28" t="s">
        <v>213</v>
      </c>
      <c r="F28" t="s">
        <v>214</v>
      </c>
      <c r="H28" t="s">
        <v>215</v>
      </c>
      <c r="I28" t="str">
        <f>VLOOKUP(A28,训练集亚型!$A$1:$F$1000,4,0)</f>
        <v>a</v>
      </c>
    </row>
    <row r="29" spans="1:9">
      <c r="A29" t="s">
        <v>216</v>
      </c>
      <c r="B29">
        <v>63</v>
      </c>
      <c r="C29" t="s">
        <v>217</v>
      </c>
      <c r="F29" t="s">
        <v>218</v>
      </c>
      <c r="H29" t="s">
        <v>219</v>
      </c>
      <c r="I29" t="str">
        <f>VLOOKUP(A29,训练集亚型!$A$1:$F$1000,4,0)</f>
        <v>a</v>
      </c>
    </row>
    <row r="30" spans="1:9">
      <c r="A30" t="s">
        <v>236</v>
      </c>
      <c r="B30">
        <v>51</v>
      </c>
      <c r="C30" t="s">
        <v>237</v>
      </c>
      <c r="F30" t="s">
        <v>238</v>
      </c>
      <c r="H30" t="s">
        <v>239</v>
      </c>
      <c r="I30" t="str">
        <f>VLOOKUP(A30,训练集亚型!$A$1:$F$1000,4,0)</f>
        <v>a</v>
      </c>
    </row>
    <row r="31" spans="1:9">
      <c r="A31" t="s">
        <v>244</v>
      </c>
      <c r="B31">
        <v>64</v>
      </c>
      <c r="C31" t="s">
        <v>245</v>
      </c>
      <c r="F31" t="s">
        <v>246</v>
      </c>
      <c r="H31" t="s">
        <v>247</v>
      </c>
      <c r="I31" t="str">
        <f>VLOOKUP(A31,训练集亚型!$A$1:$F$1000,4,0)</f>
        <v>a</v>
      </c>
    </row>
    <row r="32" spans="1:9">
      <c r="A32" t="s">
        <v>252</v>
      </c>
      <c r="B32">
        <v>63</v>
      </c>
      <c r="C32" t="s">
        <v>253</v>
      </c>
      <c r="F32" t="s">
        <v>254</v>
      </c>
      <c r="H32" t="s">
        <v>255</v>
      </c>
      <c r="I32" t="str">
        <f>VLOOKUP(A32,训练集亚型!$A$1:$F$1000,4,0)</f>
        <v>a</v>
      </c>
    </row>
    <row r="33" spans="1:9">
      <c r="A33" t="s">
        <v>260</v>
      </c>
      <c r="B33">
        <v>65</v>
      </c>
      <c r="C33" t="s">
        <v>261</v>
      </c>
      <c r="F33" t="s">
        <v>262</v>
      </c>
      <c r="H33" t="s">
        <v>263</v>
      </c>
      <c r="I33" t="str">
        <f>VLOOKUP(A33,训练集亚型!$A$1:$F$1000,4,0)</f>
        <v>a</v>
      </c>
    </row>
    <row r="34" spans="1:9">
      <c r="A34" t="s">
        <v>268</v>
      </c>
      <c r="B34">
        <v>54</v>
      </c>
      <c r="C34" t="s">
        <v>269</v>
      </c>
      <c r="F34" t="s">
        <v>270</v>
      </c>
      <c r="H34" t="s">
        <v>271</v>
      </c>
      <c r="I34" t="str">
        <f>VLOOKUP(A34,训练集亚型!$A$1:$F$1000,4,0)</f>
        <v>a</v>
      </c>
    </row>
    <row r="35" spans="1:9">
      <c r="A35" t="s">
        <v>272</v>
      </c>
      <c r="B35">
        <v>43</v>
      </c>
      <c r="C35" t="s">
        <v>273</v>
      </c>
      <c r="F35" t="s">
        <v>274</v>
      </c>
      <c r="H35" t="s">
        <v>275</v>
      </c>
      <c r="I35" t="str">
        <f>VLOOKUP(A35,训练集亚型!$A$1:$F$1000,4,0)</f>
        <v>a</v>
      </c>
    </row>
    <row r="36" spans="1:9">
      <c r="A36" t="s">
        <v>284</v>
      </c>
      <c r="B36">
        <v>55</v>
      </c>
      <c r="C36" t="s">
        <v>285</v>
      </c>
      <c r="F36" t="s">
        <v>286</v>
      </c>
      <c r="H36" t="s">
        <v>287</v>
      </c>
      <c r="I36" t="str">
        <f>VLOOKUP(A36,训练集亚型!$A$1:$F$1000,4,0)</f>
        <v>a</v>
      </c>
    </row>
    <row r="37" spans="1:9">
      <c r="A37" t="s">
        <v>292</v>
      </c>
      <c r="B37">
        <v>51</v>
      </c>
      <c r="C37" t="s">
        <v>293</v>
      </c>
      <c r="F37" t="s">
        <v>294</v>
      </c>
      <c r="H37" t="s">
        <v>295</v>
      </c>
      <c r="I37" t="str">
        <f>VLOOKUP(A37,训练集亚型!$A$1:$F$1000,4,0)</f>
        <v>a</v>
      </c>
    </row>
    <row r="38" spans="1:9">
      <c r="A38" t="s">
        <v>296</v>
      </c>
      <c r="B38">
        <v>63</v>
      </c>
      <c r="C38" t="s">
        <v>297</v>
      </c>
      <c r="F38" t="s">
        <v>298</v>
      </c>
      <c r="H38" t="s">
        <v>299</v>
      </c>
      <c r="I38" t="str">
        <f>VLOOKUP(A38,训练集亚型!$A$1:$F$1000,4,0)</f>
        <v>a</v>
      </c>
    </row>
    <row r="39" spans="1:9">
      <c r="A39" t="s">
        <v>304</v>
      </c>
      <c r="B39">
        <v>50</v>
      </c>
      <c r="C39" t="s">
        <v>305</v>
      </c>
      <c r="F39" t="s">
        <v>306</v>
      </c>
      <c r="H39" t="s">
        <v>307</v>
      </c>
      <c r="I39" t="str">
        <f>VLOOKUP(A39,训练集亚型!$A$1:$F$1000,4,0)</f>
        <v>a</v>
      </c>
    </row>
    <row r="40" spans="1:9">
      <c r="A40" t="s">
        <v>324</v>
      </c>
      <c r="B40">
        <v>48</v>
      </c>
      <c r="C40" t="s">
        <v>325</v>
      </c>
      <c r="F40" t="s">
        <v>326</v>
      </c>
      <c r="H40" t="s">
        <v>327</v>
      </c>
      <c r="I40" t="str">
        <f>VLOOKUP(A40,训练集亚型!$A$1:$F$1000,4,0)</f>
        <v>a</v>
      </c>
    </row>
    <row r="41" spans="1:9">
      <c r="A41" t="s">
        <v>336</v>
      </c>
      <c r="B41">
        <v>41</v>
      </c>
      <c r="C41" t="s">
        <v>337</v>
      </c>
      <c r="F41" t="s">
        <v>338</v>
      </c>
      <c r="H41" t="s">
        <v>339</v>
      </c>
      <c r="I41" t="str">
        <f>VLOOKUP(A41,训练集亚型!$A$1:$F$1000,4,0)</f>
        <v>a</v>
      </c>
    </row>
    <row r="42" spans="1:9">
      <c r="A42" t="s">
        <v>340</v>
      </c>
      <c r="B42">
        <v>59</v>
      </c>
      <c r="C42" t="s">
        <v>341</v>
      </c>
      <c r="F42" t="s">
        <v>342</v>
      </c>
      <c r="H42" t="s">
        <v>343</v>
      </c>
      <c r="I42" t="str">
        <f>VLOOKUP(A42,训练集亚型!$A$1:$F$1000,4,0)</f>
        <v>a</v>
      </c>
    </row>
    <row r="43" spans="1:9">
      <c r="A43" t="s">
        <v>344</v>
      </c>
      <c r="B43">
        <v>51</v>
      </c>
      <c r="C43" t="s">
        <v>345</v>
      </c>
      <c r="F43" t="s">
        <v>346</v>
      </c>
      <c r="H43" t="s">
        <v>347</v>
      </c>
      <c r="I43" t="str">
        <f>VLOOKUP(A43,训练集亚型!$A$1:$F$1000,4,0)</f>
        <v>a</v>
      </c>
    </row>
    <row r="44" spans="1:9">
      <c r="A44" t="s">
        <v>348</v>
      </c>
      <c r="B44">
        <v>48</v>
      </c>
      <c r="C44" t="s">
        <v>349</v>
      </c>
      <c r="F44" t="s">
        <v>350</v>
      </c>
      <c r="H44" t="s">
        <v>351</v>
      </c>
      <c r="I44" t="str">
        <f>VLOOKUP(A44,训练集亚型!$A$1:$F$1000,4,0)</f>
        <v>a</v>
      </c>
    </row>
    <row r="45" spans="1:9">
      <c r="A45" t="s">
        <v>356</v>
      </c>
      <c r="B45">
        <v>65</v>
      </c>
      <c r="C45" t="s">
        <v>357</v>
      </c>
      <c r="F45" t="s">
        <v>358</v>
      </c>
      <c r="H45" t="s">
        <v>359</v>
      </c>
      <c r="I45" t="str">
        <f>VLOOKUP(A45,训练集亚型!$A$1:$F$1000,4,0)</f>
        <v>a</v>
      </c>
    </row>
    <row r="46" spans="1:9">
      <c r="A46" t="s">
        <v>368</v>
      </c>
      <c r="B46">
        <v>42</v>
      </c>
      <c r="C46" t="s">
        <v>369</v>
      </c>
      <c r="F46" t="s">
        <v>370</v>
      </c>
      <c r="H46" t="s">
        <v>371</v>
      </c>
      <c r="I46" t="str">
        <f>VLOOKUP(A46,训练集亚型!$A$1:$F$1000,4,0)</f>
        <v>a</v>
      </c>
    </row>
    <row r="47" spans="1:9">
      <c r="A47" t="s">
        <v>388</v>
      </c>
      <c r="B47">
        <v>67</v>
      </c>
      <c r="C47" t="s">
        <v>389</v>
      </c>
      <c r="F47" t="s">
        <v>390</v>
      </c>
      <c r="H47" t="s">
        <v>391</v>
      </c>
      <c r="I47" t="str">
        <f>VLOOKUP(A47,训练集亚型!$A$1:$F$1000,4,0)</f>
        <v>a</v>
      </c>
    </row>
    <row r="48" spans="1:9">
      <c r="A48" t="s">
        <v>396</v>
      </c>
      <c r="B48">
        <v>59</v>
      </c>
      <c r="C48" t="s">
        <v>397</v>
      </c>
      <c r="F48" t="s">
        <v>398</v>
      </c>
      <c r="H48" t="s">
        <v>399</v>
      </c>
      <c r="I48" t="str">
        <f>VLOOKUP(A48,训练集亚型!$A$1:$F$1000,4,0)</f>
        <v>a</v>
      </c>
    </row>
    <row r="49" spans="1:9">
      <c r="A49" t="s">
        <v>400</v>
      </c>
      <c r="B49">
        <v>50</v>
      </c>
      <c r="C49" t="s">
        <v>401</v>
      </c>
      <c r="F49" t="s">
        <v>402</v>
      </c>
      <c r="H49" t="s">
        <v>403</v>
      </c>
      <c r="I49" t="str">
        <f>VLOOKUP(A49,训练集亚型!$A$1:$F$1000,4,0)</f>
        <v>a</v>
      </c>
    </row>
    <row r="50" spans="1:9">
      <c r="A50" t="s">
        <v>404</v>
      </c>
      <c r="B50">
        <v>77</v>
      </c>
      <c r="C50" t="s">
        <v>405</v>
      </c>
      <c r="F50" t="s">
        <v>406</v>
      </c>
      <c r="H50" t="s">
        <v>407</v>
      </c>
      <c r="I50" t="str">
        <f>VLOOKUP(A50,训练集亚型!$A$1:$F$1000,4,0)</f>
        <v>a</v>
      </c>
    </row>
    <row r="51" spans="1:9">
      <c r="A51" t="s">
        <v>408</v>
      </c>
      <c r="B51">
        <v>56</v>
      </c>
      <c r="C51" t="s">
        <v>409</v>
      </c>
      <c r="F51" t="s">
        <v>410</v>
      </c>
      <c r="H51" t="s">
        <v>411</v>
      </c>
      <c r="I51" t="str">
        <f>VLOOKUP(A51,训练集亚型!$A$1:$F$1000,4,0)</f>
        <v>a</v>
      </c>
    </row>
    <row r="52" spans="1:9">
      <c r="A52" t="s">
        <v>412</v>
      </c>
      <c r="B52">
        <v>71</v>
      </c>
      <c r="C52" t="s">
        <v>413</v>
      </c>
      <c r="F52" t="s">
        <v>414</v>
      </c>
      <c r="H52" t="s">
        <v>415</v>
      </c>
      <c r="I52" t="str">
        <f>VLOOKUP(A52,训练集亚型!$A$1:$F$1000,4,0)</f>
        <v>a</v>
      </c>
    </row>
    <row r="53" spans="1:9">
      <c r="A53" t="s">
        <v>416</v>
      </c>
      <c r="B53">
        <v>51</v>
      </c>
      <c r="C53" t="s">
        <v>417</v>
      </c>
      <c r="F53" t="s">
        <v>418</v>
      </c>
      <c r="H53" t="s">
        <v>419</v>
      </c>
      <c r="I53" t="str">
        <f>VLOOKUP(A53,训练集亚型!$A$1:$F$1000,4,0)</f>
        <v>a</v>
      </c>
    </row>
    <row r="54" spans="1:9">
      <c r="A54" t="s">
        <v>420</v>
      </c>
      <c r="B54">
        <v>52</v>
      </c>
      <c r="C54" t="s">
        <v>401</v>
      </c>
      <c r="F54" t="s">
        <v>421</v>
      </c>
      <c r="H54" t="s">
        <v>422</v>
      </c>
      <c r="I54" t="str">
        <f>VLOOKUP(A54,训练集亚型!$A$1:$F$1000,4,0)</f>
        <v>a</v>
      </c>
    </row>
    <row r="55" spans="1:9">
      <c r="A55" t="s">
        <v>427</v>
      </c>
      <c r="B55">
        <v>73</v>
      </c>
      <c r="C55" t="s">
        <v>428</v>
      </c>
      <c r="F55" t="s">
        <v>429</v>
      </c>
      <c r="H55" t="s">
        <v>430</v>
      </c>
      <c r="I55" t="str">
        <f>VLOOKUP(A55,训练集亚型!$A$1:$F$1000,4,0)</f>
        <v>a</v>
      </c>
    </row>
    <row r="56" spans="1:9">
      <c r="A56" t="s">
        <v>431</v>
      </c>
      <c r="B56">
        <v>60</v>
      </c>
      <c r="C56" t="s">
        <v>432</v>
      </c>
      <c r="F56" t="s">
        <v>433</v>
      </c>
      <c r="H56" t="s">
        <v>434</v>
      </c>
      <c r="I56" t="str">
        <f>VLOOKUP(A56,训练集亚型!$A$1:$F$1000,4,0)</f>
        <v>a</v>
      </c>
    </row>
    <row r="57" spans="1:9">
      <c r="A57" t="s">
        <v>439</v>
      </c>
      <c r="B57">
        <v>53</v>
      </c>
      <c r="C57" t="s">
        <v>440</v>
      </c>
      <c r="F57" t="s">
        <v>441</v>
      </c>
      <c r="H57" t="s">
        <v>442</v>
      </c>
      <c r="I57" t="str">
        <f>VLOOKUP(A57,训练集亚型!$A$1:$F$1000,4,0)</f>
        <v>a</v>
      </c>
    </row>
    <row r="58" spans="1:9">
      <c r="A58" t="s">
        <v>443</v>
      </c>
      <c r="B58">
        <v>48</v>
      </c>
      <c r="C58" t="s">
        <v>444</v>
      </c>
      <c r="F58" t="s">
        <v>445</v>
      </c>
      <c r="H58" t="s">
        <v>446</v>
      </c>
      <c r="I58" t="str">
        <f>VLOOKUP(A58,训练集亚型!$A$1:$F$1000,4,0)</f>
        <v>a</v>
      </c>
    </row>
    <row r="59" spans="1:9">
      <c r="A59" t="s">
        <v>447</v>
      </c>
      <c r="B59">
        <v>69</v>
      </c>
      <c r="C59" t="s">
        <v>448</v>
      </c>
      <c r="F59" t="s">
        <v>449</v>
      </c>
      <c r="H59" t="s">
        <v>450</v>
      </c>
      <c r="I59" t="str">
        <f>VLOOKUP(A59,训练集亚型!$A$1:$F$1000,4,0)</f>
        <v>a</v>
      </c>
    </row>
    <row r="60" spans="1:9">
      <c r="A60" t="s">
        <v>455</v>
      </c>
      <c r="B60">
        <v>64</v>
      </c>
      <c r="C60" t="s">
        <v>405</v>
      </c>
      <c r="F60" t="s">
        <v>456</v>
      </c>
      <c r="H60" t="s">
        <v>457</v>
      </c>
      <c r="I60" t="str">
        <f>VLOOKUP(A60,训练集亚型!$A$1:$F$1000,4,0)</f>
        <v>a</v>
      </c>
    </row>
    <row r="61" spans="1:9">
      <c r="A61" t="s">
        <v>458</v>
      </c>
      <c r="B61">
        <v>57</v>
      </c>
      <c r="C61" t="s">
        <v>459</v>
      </c>
      <c r="F61" t="s">
        <v>460</v>
      </c>
      <c r="H61" t="s">
        <v>461</v>
      </c>
      <c r="I61" t="str">
        <f>VLOOKUP(A61,训练集亚型!$A$1:$F$1000,4,0)</f>
        <v>a</v>
      </c>
    </row>
    <row r="62" spans="1:9">
      <c r="A62" t="s">
        <v>462</v>
      </c>
      <c r="B62">
        <v>71</v>
      </c>
      <c r="C62" t="s">
        <v>405</v>
      </c>
      <c r="F62" t="s">
        <v>463</v>
      </c>
      <c r="H62" t="s">
        <v>464</v>
      </c>
      <c r="I62" t="str">
        <f>VLOOKUP(A62,训练集亚型!$A$1:$F$1000,4,0)</f>
        <v>a</v>
      </c>
    </row>
    <row r="63" spans="1:9">
      <c r="A63" t="s">
        <v>465</v>
      </c>
      <c r="B63">
        <v>51</v>
      </c>
      <c r="C63" t="s">
        <v>401</v>
      </c>
      <c r="F63" t="s">
        <v>466</v>
      </c>
      <c r="H63" t="s">
        <v>467</v>
      </c>
      <c r="I63" t="str">
        <f>VLOOKUP(A63,训练集亚型!$A$1:$F$1000,4,0)</f>
        <v>a</v>
      </c>
    </row>
    <row r="64" spans="1:9">
      <c r="A64" t="s">
        <v>472</v>
      </c>
      <c r="B64">
        <v>60</v>
      </c>
      <c r="C64" t="s">
        <v>405</v>
      </c>
      <c r="F64" t="s">
        <v>473</v>
      </c>
      <c r="H64" t="s">
        <v>474</v>
      </c>
      <c r="I64" t="str">
        <f>VLOOKUP(A64,训练集亚型!$A$1:$F$1000,4,0)</f>
        <v>a</v>
      </c>
    </row>
    <row r="65" spans="1:9">
      <c r="A65" t="s">
        <v>128</v>
      </c>
      <c r="B65">
        <v>63</v>
      </c>
      <c r="C65" t="s">
        <v>129</v>
      </c>
      <c r="G65" t="s">
        <v>130</v>
      </c>
      <c r="H65" t="s">
        <v>131</v>
      </c>
      <c r="I65" t="str">
        <f>VLOOKUP(A65,训练集亚型!$A$1:$F$1000,4,0)</f>
        <v>b</v>
      </c>
    </row>
    <row r="66" spans="1:9">
      <c r="A66" t="s">
        <v>320</v>
      </c>
      <c r="B66">
        <v>51</v>
      </c>
      <c r="C66" t="s">
        <v>321</v>
      </c>
      <c r="F66" t="s">
        <v>322</v>
      </c>
      <c r="H66" t="s">
        <v>323</v>
      </c>
      <c r="I66" t="str">
        <f>VLOOKUP(A66,训练集亚型!$A$1:$F$1000,4,0)</f>
        <v>b</v>
      </c>
    </row>
    <row r="67" spans="1:9">
      <c r="A67" t="s">
        <v>364</v>
      </c>
      <c r="B67">
        <v>71</v>
      </c>
      <c r="C67" t="s">
        <v>365</v>
      </c>
      <c r="F67" t="s">
        <v>366</v>
      </c>
      <c r="H67" t="s">
        <v>367</v>
      </c>
      <c r="I67" t="str">
        <f>VLOOKUP(A67,训练集亚型!$A$1:$F$1000,4,0)</f>
        <v>b</v>
      </c>
    </row>
    <row r="68" spans="1:9">
      <c r="A68" t="s">
        <v>435</v>
      </c>
      <c r="B68">
        <v>56</v>
      </c>
      <c r="C68" t="s">
        <v>436</v>
      </c>
      <c r="F68" t="s">
        <v>437</v>
      </c>
      <c r="H68" t="s">
        <v>438</v>
      </c>
      <c r="I68" t="str">
        <f>VLOOKUP(A68,训练集亚型!$A$1:$F$1000,4,0)</f>
        <v>b</v>
      </c>
    </row>
    <row r="69" spans="1:9">
      <c r="A69" t="s">
        <v>451</v>
      </c>
      <c r="B69">
        <v>75</v>
      </c>
      <c r="C69" t="s">
        <v>452</v>
      </c>
      <c r="F69" t="s">
        <v>453</v>
      </c>
      <c r="H69" t="s">
        <v>454</v>
      </c>
      <c r="I69" t="str">
        <f>VLOOKUP(A69,训练集亚型!$A$1:$F$1000,4,0)</f>
        <v>b</v>
      </c>
    </row>
    <row r="70" spans="1:9">
      <c r="A70" t="s">
        <v>132</v>
      </c>
      <c r="B70">
        <v>14</v>
      </c>
      <c r="C70" t="s">
        <v>133</v>
      </c>
      <c r="F70" t="s">
        <v>134</v>
      </c>
      <c r="H70" t="s">
        <v>135</v>
      </c>
      <c r="I70" t="str">
        <f>VLOOKUP(A70,训练集亚型!$A$1:$F$1000,4,0)</f>
        <v>c</v>
      </c>
    </row>
    <row r="71" spans="1:9">
      <c r="A71" t="s">
        <v>276</v>
      </c>
      <c r="B71">
        <v>61</v>
      </c>
      <c r="C71" t="s">
        <v>277</v>
      </c>
      <c r="F71" t="s">
        <v>278</v>
      </c>
      <c r="H71" t="s">
        <v>279</v>
      </c>
      <c r="I71" t="str">
        <f>VLOOKUP(A71,训练集亚型!$A$1:$F$1000,4,0)</f>
        <v>c</v>
      </c>
    </row>
    <row r="72" spans="1:9">
      <c r="A72" t="s">
        <v>300</v>
      </c>
      <c r="B72">
        <v>31</v>
      </c>
      <c r="C72" t="s">
        <v>301</v>
      </c>
      <c r="F72" t="s">
        <v>302</v>
      </c>
      <c r="H72" t="s">
        <v>303</v>
      </c>
      <c r="I72" t="str">
        <f>VLOOKUP(A72,训练集亚型!$A$1:$F$1000,4,0)</f>
        <v>c</v>
      </c>
    </row>
    <row r="73" spans="1:9">
      <c r="A73" t="s">
        <v>77</v>
      </c>
      <c r="B73">
        <v>41</v>
      </c>
      <c r="C73" t="s">
        <v>78</v>
      </c>
      <c r="F73" t="s">
        <v>79</v>
      </c>
      <c r="G73" t="s">
        <v>80</v>
      </c>
      <c r="H73" t="s">
        <v>81</v>
      </c>
      <c r="I73" t="str">
        <f>VLOOKUP(A73,训练集亚型!$A$1:$F$1000,4,0)</f>
        <v>d</v>
      </c>
    </row>
    <row r="74" spans="1:9">
      <c r="A74" t="s">
        <v>144</v>
      </c>
      <c r="B74">
        <v>40</v>
      </c>
      <c r="C74" t="s">
        <v>145</v>
      </c>
      <c r="F74" t="s">
        <v>146</v>
      </c>
      <c r="H74" t="s">
        <v>147</v>
      </c>
      <c r="I74" t="str">
        <f>VLOOKUP(A74,训练集亚型!$A$1:$F$1000,4,0)</f>
        <v>d</v>
      </c>
    </row>
    <row r="75" spans="1:9">
      <c r="A75" t="s">
        <v>240</v>
      </c>
      <c r="B75">
        <v>47</v>
      </c>
      <c r="C75" t="s">
        <v>241</v>
      </c>
      <c r="F75" t="s">
        <v>242</v>
      </c>
      <c r="H75" t="s">
        <v>243</v>
      </c>
      <c r="I75" t="str">
        <f>VLOOKUP(A75,训练集亚型!$A$1:$F$1000,4,0)</f>
        <v>d</v>
      </c>
    </row>
    <row r="76" spans="1:9">
      <c r="A76" t="s">
        <v>248</v>
      </c>
      <c r="B76">
        <v>69</v>
      </c>
      <c r="C76" t="s">
        <v>249</v>
      </c>
      <c r="F76" t="s">
        <v>250</v>
      </c>
      <c r="H76" t="s">
        <v>251</v>
      </c>
      <c r="I76" t="str">
        <f>VLOOKUP(A76,训练集亚型!$A$1:$F$1000,4,0)</f>
        <v>d</v>
      </c>
    </row>
    <row r="77" spans="1:9">
      <c r="A77" t="s">
        <v>204</v>
      </c>
      <c r="B77">
        <v>30</v>
      </c>
      <c r="C77" t="s">
        <v>205</v>
      </c>
      <c r="F77" t="s">
        <v>206</v>
      </c>
      <c r="H77" t="s">
        <v>207</v>
      </c>
      <c r="I77" t="str">
        <f>VLOOKUP(A77,训练集亚型!$A$1:$F$1000,4,0)</f>
        <v>e</v>
      </c>
    </row>
    <row r="78" spans="1:9">
      <c r="A78" t="s">
        <v>42</v>
      </c>
      <c r="B78">
        <v>53</v>
      </c>
      <c r="C78" t="s">
        <v>43</v>
      </c>
      <c r="F78" t="s">
        <v>44</v>
      </c>
      <c r="G78" t="s">
        <v>45</v>
      </c>
      <c r="H78" t="s">
        <v>46</v>
      </c>
      <c r="I78" t="str">
        <f>VLOOKUP(A78,训练集亚型!$A$1:$F$1000,4,0)</f>
        <v>f</v>
      </c>
    </row>
    <row r="79" spans="1:9">
      <c r="A79" t="s">
        <v>168</v>
      </c>
      <c r="B79">
        <v>64</v>
      </c>
      <c r="C79" t="s">
        <v>169</v>
      </c>
      <c r="F79" t="s">
        <v>170</v>
      </c>
      <c r="H79" t="s">
        <v>171</v>
      </c>
      <c r="I79" t="str">
        <f>VLOOKUP(A79,训练集亚型!$A$1:$F$1000,4,0)</f>
        <v>f</v>
      </c>
    </row>
    <row r="80" spans="1:9">
      <c r="A80" t="s">
        <v>192</v>
      </c>
      <c r="B80">
        <v>32</v>
      </c>
      <c r="C80" t="s">
        <v>193</v>
      </c>
      <c r="F80" t="s">
        <v>194</v>
      </c>
      <c r="H80" t="s">
        <v>195</v>
      </c>
      <c r="I80" t="str">
        <f>VLOOKUP(A80,训练集亚型!$A$1:$F$1000,4,0)</f>
        <v>f</v>
      </c>
    </row>
    <row r="81" spans="1:9">
      <c r="A81" t="s">
        <v>228</v>
      </c>
      <c r="B81">
        <v>42</v>
      </c>
      <c r="C81" t="s">
        <v>229</v>
      </c>
      <c r="F81" t="s">
        <v>230</v>
      </c>
      <c r="H81" t="s">
        <v>231</v>
      </c>
      <c r="I81" t="str">
        <f>VLOOKUP(A81,训练集亚型!$A$1:$F$1000,4,0)</f>
        <v>f</v>
      </c>
    </row>
    <row r="82" spans="1:9">
      <c r="A82" t="s">
        <v>360</v>
      </c>
      <c r="B82">
        <v>56</v>
      </c>
      <c r="C82" t="s">
        <v>361</v>
      </c>
      <c r="F82" t="s">
        <v>362</v>
      </c>
      <c r="H82" t="s">
        <v>363</v>
      </c>
      <c r="I82" t="str">
        <f>VLOOKUP(A82,训练集亚型!$A$1:$F$1000,4,0)</f>
        <v>f</v>
      </c>
    </row>
    <row r="83" spans="1:9">
      <c r="A83" t="s">
        <v>384</v>
      </c>
      <c r="B83">
        <v>55</v>
      </c>
      <c r="C83" t="s">
        <v>385</v>
      </c>
      <c r="F83" t="s">
        <v>386</v>
      </c>
      <c r="H83" t="s">
        <v>387</v>
      </c>
      <c r="I83" t="str">
        <f>VLOOKUP(A83,训练集亚型!$A$1:$F$1000,4,0)</f>
        <v>f</v>
      </c>
    </row>
    <row r="84" spans="1:9">
      <c r="A84" t="s">
        <v>423</v>
      </c>
      <c r="B84">
        <v>51</v>
      </c>
      <c r="C84" t="s">
        <v>424</v>
      </c>
      <c r="F84" t="s">
        <v>425</v>
      </c>
      <c r="H84" t="s">
        <v>426</v>
      </c>
      <c r="I84" t="str">
        <f>VLOOKUP(A84,训练集亚型!$A$1:$F$1000,4,0)</f>
        <v>f</v>
      </c>
    </row>
    <row r="85" spans="1:9">
      <c r="A85" t="s">
        <v>468</v>
      </c>
      <c r="B85">
        <v>54</v>
      </c>
      <c r="C85" t="s">
        <v>469</v>
      </c>
      <c r="F85" t="s">
        <v>470</v>
      </c>
      <c r="H85" t="s">
        <v>471</v>
      </c>
      <c r="I85" t="str">
        <f>VLOOKUP(A85,训练集亚型!$A$1:$F$1000,4,0)</f>
        <v>f</v>
      </c>
    </row>
    <row r="86" spans="1:9">
      <c r="A86" t="s">
        <v>26</v>
      </c>
      <c r="B86">
        <v>18</v>
      </c>
      <c r="C86" t="s">
        <v>27</v>
      </c>
      <c r="F86" t="s">
        <v>28</v>
      </c>
      <c r="G86" t="s">
        <v>29</v>
      </c>
      <c r="H86" t="s">
        <v>30</v>
      </c>
      <c r="I86" t="str">
        <f>VLOOKUP(A86,训练集亚型!$A$1:$F$1000,4,0)</f>
        <v>g</v>
      </c>
    </row>
    <row r="87" spans="1:9">
      <c r="A87" t="s">
        <v>176</v>
      </c>
      <c r="B87">
        <v>63</v>
      </c>
      <c r="C87" t="s">
        <v>177</v>
      </c>
      <c r="F87" t="s">
        <v>178</v>
      </c>
      <c r="H87" t="s">
        <v>179</v>
      </c>
      <c r="I87" t="str">
        <f>VLOOKUP(A87,训练集亚型!$A$1:$F$1000,4,0)</f>
        <v>h</v>
      </c>
    </row>
    <row r="88" spans="1:9">
      <c r="A88" t="s">
        <v>208</v>
      </c>
      <c r="B88">
        <v>57</v>
      </c>
      <c r="C88" t="s">
        <v>209</v>
      </c>
      <c r="F88" t="s">
        <v>210</v>
      </c>
      <c r="H88" t="s">
        <v>211</v>
      </c>
      <c r="I88" t="str">
        <f>VLOOKUP(A88,训练集亚型!$A$1:$F$1000,4,0)</f>
        <v>h</v>
      </c>
    </row>
    <row r="89" spans="1:9">
      <c r="A89" t="s">
        <v>280</v>
      </c>
      <c r="B89">
        <v>62</v>
      </c>
      <c r="C89" t="s">
        <v>281</v>
      </c>
      <c r="F89" t="s">
        <v>282</v>
      </c>
      <c r="H89" t="s">
        <v>283</v>
      </c>
      <c r="I89" t="str">
        <f>VLOOKUP(A89,训练集亚型!$A$1:$F$1000,4,0)</f>
        <v>h</v>
      </c>
    </row>
    <row r="90" spans="1:9">
      <c r="A90" t="s">
        <v>288</v>
      </c>
      <c r="B90">
        <v>19</v>
      </c>
      <c r="C90" t="s">
        <v>289</v>
      </c>
      <c r="F90" t="s">
        <v>290</v>
      </c>
      <c r="H90" t="s">
        <v>291</v>
      </c>
      <c r="I90" t="str">
        <f>VLOOKUP(A90,训练集亚型!$A$1:$F$1000,4,0)</f>
        <v>h</v>
      </c>
    </row>
    <row r="91" spans="1:9">
      <c r="A91" t="s">
        <v>156</v>
      </c>
      <c r="B91">
        <v>25</v>
      </c>
      <c r="C91" t="s">
        <v>157</v>
      </c>
      <c r="F91" t="s">
        <v>158</v>
      </c>
      <c r="H91" t="s">
        <v>159</v>
      </c>
      <c r="I91" t="str">
        <f>VLOOKUP(A91,训练集亚型!$A$1:$F$1000,4,0)</f>
        <v>i</v>
      </c>
    </row>
    <row r="92" spans="1:9">
      <c r="A92" t="s">
        <v>124</v>
      </c>
      <c r="B92">
        <v>40</v>
      </c>
      <c r="C92" t="s">
        <v>125</v>
      </c>
      <c r="G92" t="s">
        <v>126</v>
      </c>
      <c r="H92" t="s">
        <v>127</v>
      </c>
      <c r="I92" t="str">
        <f>VLOOKUP(A92,训练集亚型!$A$1:$F$1000,4,0)</f>
        <v>j</v>
      </c>
    </row>
    <row r="93" spans="1:9">
      <c r="A93" t="s">
        <v>164</v>
      </c>
      <c r="B93">
        <v>26</v>
      </c>
      <c r="C93" t="s">
        <v>165</v>
      </c>
      <c r="F93" t="s">
        <v>166</v>
      </c>
      <c r="H93" t="s">
        <v>167</v>
      </c>
      <c r="I93" t="str">
        <f>VLOOKUP(A93,训练集亚型!$A$1:$F$1000,4,0)</f>
        <v>j</v>
      </c>
    </row>
    <row r="94" spans="1:9">
      <c r="A94" t="s">
        <v>232</v>
      </c>
      <c r="B94">
        <v>40</v>
      </c>
      <c r="C94" t="s">
        <v>233</v>
      </c>
      <c r="F94" t="s">
        <v>234</v>
      </c>
      <c r="H94" t="s">
        <v>235</v>
      </c>
      <c r="I94" t="str">
        <f>VLOOKUP(A94,训练集亚型!$A$1:$F$1000,4,0)</f>
        <v>j</v>
      </c>
    </row>
    <row r="95" spans="1:9">
      <c r="A95" t="s">
        <v>372</v>
      </c>
      <c r="B95">
        <v>74</v>
      </c>
      <c r="C95" t="s">
        <v>373</v>
      </c>
      <c r="F95" t="s">
        <v>374</v>
      </c>
      <c r="H95" t="s">
        <v>375</v>
      </c>
      <c r="I95" t="str">
        <f>VLOOKUP(A95,训练集亚型!$A$1:$F$1000,4,0)</f>
        <v>j</v>
      </c>
    </row>
    <row r="96" spans="1:9">
      <c r="A96" t="s">
        <v>380</v>
      </c>
      <c r="B96">
        <v>57</v>
      </c>
      <c r="C96" t="s">
        <v>381</v>
      </c>
      <c r="F96" t="s">
        <v>382</v>
      </c>
      <c r="H96" t="s">
        <v>383</v>
      </c>
      <c r="I96" t="str">
        <f>VLOOKUP(A96,训练集亚型!$A$1:$F$1000,4,0)</f>
        <v>k</v>
      </c>
    </row>
    <row r="97" spans="1:9">
      <c r="A97" t="s">
        <v>392</v>
      </c>
      <c r="B97">
        <v>69</v>
      </c>
      <c r="C97" t="s">
        <v>393</v>
      </c>
      <c r="F97" t="s">
        <v>394</v>
      </c>
      <c r="H97" t="s">
        <v>395</v>
      </c>
      <c r="I97" t="str">
        <f>VLOOKUP(A97,训练集亚型!$A$1:$F$1000,4,0)</f>
        <v>k</v>
      </c>
    </row>
    <row r="98" spans="1:9">
      <c r="A98" t="s">
        <v>31</v>
      </c>
      <c r="B98">
        <v>48</v>
      </c>
      <c r="C98" t="s">
        <v>32</v>
      </c>
      <c r="G98" t="s">
        <v>33</v>
      </c>
      <c r="H98" t="s">
        <v>34</v>
      </c>
      <c r="I98" s="20" t="s">
        <v>1772</v>
      </c>
    </row>
    <row r="99" spans="1:9">
      <c r="A99" t="s">
        <v>67</v>
      </c>
      <c r="B99">
        <v>50</v>
      </c>
      <c r="C99" t="s">
        <v>68</v>
      </c>
      <c r="F99" t="s">
        <v>69</v>
      </c>
      <c r="G99" t="s">
        <v>70</v>
      </c>
      <c r="H99" t="s">
        <v>71</v>
      </c>
      <c r="I99" s="20" t="s">
        <v>1772</v>
      </c>
    </row>
    <row r="100" spans="1:9">
      <c r="A100" t="s">
        <v>136</v>
      </c>
      <c r="B100">
        <v>67</v>
      </c>
      <c r="C100" t="s">
        <v>137</v>
      </c>
      <c r="F100" t="s">
        <v>138</v>
      </c>
      <c r="H100" t="s">
        <v>139</v>
      </c>
      <c r="I100" s="20" t="s">
        <v>1772</v>
      </c>
    </row>
    <row r="101" spans="1:9">
      <c r="A101" t="s">
        <v>148</v>
      </c>
      <c r="B101">
        <v>25</v>
      </c>
      <c r="C101" t="s">
        <v>149</v>
      </c>
      <c r="F101" t="s">
        <v>150</v>
      </c>
      <c r="H101" t="s">
        <v>151</v>
      </c>
      <c r="I101" s="20" t="s">
        <v>1772</v>
      </c>
    </row>
    <row r="102" spans="1:9">
      <c r="A102" t="s">
        <v>152</v>
      </c>
      <c r="B102">
        <v>28</v>
      </c>
      <c r="C102" t="s">
        <v>153</v>
      </c>
      <c r="F102" t="s">
        <v>154</v>
      </c>
      <c r="H102" t="s">
        <v>155</v>
      </c>
      <c r="I102" s="20" t="s">
        <v>1772</v>
      </c>
    </row>
    <row r="103" spans="1:9">
      <c r="A103" t="s">
        <v>188</v>
      </c>
      <c r="B103">
        <v>50</v>
      </c>
      <c r="C103" t="s">
        <v>189</v>
      </c>
      <c r="F103" t="s">
        <v>190</v>
      </c>
      <c r="H103" t="s">
        <v>191</v>
      </c>
      <c r="I103" s="20" t="s">
        <v>1772</v>
      </c>
    </row>
    <row r="104" spans="1:9">
      <c r="A104" t="s">
        <v>200</v>
      </c>
      <c r="B104">
        <v>25</v>
      </c>
      <c r="C104" t="s">
        <v>201</v>
      </c>
      <c r="F104" t="s">
        <v>202</v>
      </c>
      <c r="H104" t="s">
        <v>203</v>
      </c>
      <c r="I104" s="20" t="s">
        <v>1772</v>
      </c>
    </row>
    <row r="105" spans="1:9">
      <c r="A105" t="s">
        <v>220</v>
      </c>
      <c r="B105">
        <v>37</v>
      </c>
      <c r="C105" t="s">
        <v>221</v>
      </c>
      <c r="F105" t="s">
        <v>222</v>
      </c>
      <c r="H105" t="s">
        <v>223</v>
      </c>
      <c r="I105" s="20" t="s">
        <v>1772</v>
      </c>
    </row>
    <row r="106" spans="1:9">
      <c r="A106" t="s">
        <v>224</v>
      </c>
      <c r="B106">
        <v>15</v>
      </c>
      <c r="C106" t="s">
        <v>225</v>
      </c>
      <c r="F106" t="s">
        <v>226</v>
      </c>
      <c r="H106" t="s">
        <v>227</v>
      </c>
      <c r="I106" s="20" t="s">
        <v>1772</v>
      </c>
    </row>
    <row r="107" spans="1:9">
      <c r="A107" t="s">
        <v>256</v>
      </c>
      <c r="B107">
        <v>41</v>
      </c>
      <c r="C107" t="s">
        <v>257</v>
      </c>
      <c r="F107" t="s">
        <v>258</v>
      </c>
      <c r="H107" t="s">
        <v>259</v>
      </c>
      <c r="I107" s="20" t="s">
        <v>1772</v>
      </c>
    </row>
    <row r="108" spans="1:9">
      <c r="A108" t="s">
        <v>264</v>
      </c>
      <c r="B108">
        <v>32</v>
      </c>
      <c r="C108" t="s">
        <v>265</v>
      </c>
      <c r="F108" t="s">
        <v>266</v>
      </c>
      <c r="H108" t="s">
        <v>267</v>
      </c>
      <c r="I108" s="20" t="s">
        <v>1772</v>
      </c>
    </row>
    <row r="109" spans="1:9">
      <c r="A109" t="s">
        <v>308</v>
      </c>
      <c r="B109">
        <v>52</v>
      </c>
      <c r="C109" t="s">
        <v>309</v>
      </c>
      <c r="F109" t="s">
        <v>310</v>
      </c>
      <c r="H109" t="s">
        <v>311</v>
      </c>
      <c r="I109" s="20" t="s">
        <v>1772</v>
      </c>
    </row>
    <row r="110" spans="1:9">
      <c r="A110" t="s">
        <v>316</v>
      </c>
      <c r="B110">
        <v>36</v>
      </c>
      <c r="C110" t="s">
        <v>317</v>
      </c>
      <c r="F110" t="s">
        <v>318</v>
      </c>
      <c r="H110" t="s">
        <v>319</v>
      </c>
      <c r="I110" s="20" t="s">
        <v>1772</v>
      </c>
    </row>
    <row r="111" spans="1:9">
      <c r="A111" t="s">
        <v>328</v>
      </c>
      <c r="B111">
        <v>56</v>
      </c>
      <c r="C111" t="s">
        <v>329</v>
      </c>
      <c r="F111" t="s">
        <v>330</v>
      </c>
      <c r="H111" t="s">
        <v>331</v>
      </c>
      <c r="I111" s="20" t="s">
        <v>1772</v>
      </c>
    </row>
    <row r="112" spans="1:9">
      <c r="A112" t="s">
        <v>332</v>
      </c>
      <c r="B112">
        <v>35</v>
      </c>
      <c r="C112" t="s">
        <v>333</v>
      </c>
      <c r="F112" t="s">
        <v>334</v>
      </c>
      <c r="H112" t="s">
        <v>335</v>
      </c>
      <c r="I112" s="20" t="s">
        <v>1772</v>
      </c>
    </row>
    <row r="113" spans="1:9">
      <c r="A113" t="s">
        <v>376</v>
      </c>
      <c r="B113">
        <v>46</v>
      </c>
      <c r="C113" t="s">
        <v>377</v>
      </c>
      <c r="F113" t="s">
        <v>378</v>
      </c>
      <c r="H113" t="s">
        <v>379</v>
      </c>
      <c r="I113" s="20" t="s">
        <v>1772</v>
      </c>
    </row>
    <row r="114" spans="1:9">
      <c r="A114" t="s">
        <v>312</v>
      </c>
      <c r="B114">
        <v>50</v>
      </c>
      <c r="C114" t="s">
        <v>313</v>
      </c>
      <c r="F114" t="s">
        <v>314</v>
      </c>
      <c r="H114" t="s">
        <v>315</v>
      </c>
      <c r="I114" s="20" t="s">
        <v>1773</v>
      </c>
    </row>
    <row r="115" spans="1:9">
      <c r="A115" t="s">
        <v>352</v>
      </c>
      <c r="B115">
        <v>67</v>
      </c>
      <c r="C115" t="s">
        <v>353</v>
      </c>
      <c r="F115" t="s">
        <v>354</v>
      </c>
      <c r="H115" t="s">
        <v>355</v>
      </c>
      <c r="I115" s="20" t="s">
        <v>1773</v>
      </c>
    </row>
  </sheetData>
  <sortState xmlns:xlrd2="http://schemas.microsoft.com/office/spreadsheetml/2017/richdata2" ref="A2:I115">
    <sortCondition ref="I2:I115"/>
  </sortState>
  <phoneticPr fontId="1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5"/>
  <sheetViews>
    <sheetView topLeftCell="A94" workbookViewId="0">
      <selection activeCell="J97" sqref="J97"/>
    </sheetView>
  </sheetViews>
  <sheetFormatPr defaultColWidth="8.875" defaultRowHeight="14.25"/>
  <cols>
    <col min="1" max="1" width="13.125" customWidth="1"/>
    <col min="2" max="2" width="9.5" customWidth="1"/>
    <col min="3" max="3" width="23" customWidth="1"/>
  </cols>
  <sheetData>
    <row r="1" spans="1:4">
      <c r="A1" t="s">
        <v>475</v>
      </c>
      <c r="B1" t="s">
        <v>476</v>
      </c>
      <c r="C1" t="s">
        <v>6</v>
      </c>
      <c r="D1" t="s">
        <v>477</v>
      </c>
    </row>
    <row r="2" spans="1:4">
      <c r="A2" s="11" t="s">
        <v>7</v>
      </c>
      <c r="B2">
        <v>64</v>
      </c>
      <c r="C2" t="s">
        <v>478</v>
      </c>
      <c r="D2" t="s">
        <v>479</v>
      </c>
    </row>
    <row r="3" spans="1:4">
      <c r="A3" s="11" t="s">
        <v>12</v>
      </c>
      <c r="B3">
        <v>71</v>
      </c>
      <c r="C3" t="s">
        <v>478</v>
      </c>
      <c r="D3" t="s">
        <v>479</v>
      </c>
    </row>
    <row r="4" spans="1:4" ht="15.75">
      <c r="A4" s="12" t="s">
        <v>17</v>
      </c>
      <c r="B4">
        <v>56</v>
      </c>
      <c r="C4" t="s">
        <v>478</v>
      </c>
      <c r="D4" t="s">
        <v>479</v>
      </c>
    </row>
    <row r="5" spans="1:4">
      <c r="A5" s="11" t="s">
        <v>22</v>
      </c>
      <c r="B5">
        <v>49</v>
      </c>
      <c r="C5" t="s">
        <v>478</v>
      </c>
      <c r="D5" t="s">
        <v>479</v>
      </c>
    </row>
    <row r="6" spans="1:4">
      <c r="A6" s="13" t="s">
        <v>35</v>
      </c>
      <c r="B6">
        <v>66</v>
      </c>
      <c r="C6" t="s">
        <v>478</v>
      </c>
      <c r="D6" t="s">
        <v>479</v>
      </c>
    </row>
    <row r="7" spans="1:4" ht="15.75">
      <c r="A7" s="12" t="s">
        <v>38</v>
      </c>
      <c r="B7" s="12">
        <v>56</v>
      </c>
      <c r="C7" t="s">
        <v>478</v>
      </c>
      <c r="D7" t="s">
        <v>479</v>
      </c>
    </row>
    <row r="8" spans="1:4">
      <c r="A8" s="14" t="s">
        <v>47</v>
      </c>
      <c r="B8" s="15">
        <v>50</v>
      </c>
      <c r="C8" t="s">
        <v>478</v>
      </c>
      <c r="D8" t="s">
        <v>479</v>
      </c>
    </row>
    <row r="9" spans="1:4" ht="15.75">
      <c r="A9" s="12" t="s">
        <v>52</v>
      </c>
      <c r="B9" s="12">
        <v>50</v>
      </c>
      <c r="C9" t="s">
        <v>478</v>
      </c>
      <c r="D9" t="s">
        <v>479</v>
      </c>
    </row>
    <row r="10" spans="1:4" ht="15.75">
      <c r="A10" s="12" t="s">
        <v>57</v>
      </c>
      <c r="B10" s="12">
        <v>61</v>
      </c>
      <c r="C10" t="s">
        <v>478</v>
      </c>
      <c r="D10" t="s">
        <v>479</v>
      </c>
    </row>
    <row r="11" spans="1:4" ht="15.75">
      <c r="A11" s="12" t="s">
        <v>62</v>
      </c>
      <c r="B11" s="12">
        <v>45</v>
      </c>
      <c r="C11" t="s">
        <v>478</v>
      </c>
      <c r="D11" t="s">
        <v>479</v>
      </c>
    </row>
    <row r="12" spans="1:4" ht="15.75">
      <c r="A12" s="12" t="s">
        <v>72</v>
      </c>
      <c r="B12" s="16">
        <v>47</v>
      </c>
      <c r="C12" t="s">
        <v>478</v>
      </c>
      <c r="D12" t="s">
        <v>479</v>
      </c>
    </row>
    <row r="13" spans="1:4" ht="15.75">
      <c r="A13" s="12" t="s">
        <v>87</v>
      </c>
      <c r="B13" s="16">
        <v>63</v>
      </c>
      <c r="C13" t="s">
        <v>478</v>
      </c>
      <c r="D13" t="s">
        <v>479</v>
      </c>
    </row>
    <row r="14" spans="1:4" ht="15.75">
      <c r="A14" s="12" t="s">
        <v>97</v>
      </c>
      <c r="B14" s="16">
        <v>55</v>
      </c>
      <c r="C14" t="s">
        <v>478</v>
      </c>
      <c r="D14" t="s">
        <v>479</v>
      </c>
    </row>
    <row r="15" spans="1:4">
      <c r="A15" s="14" t="s">
        <v>107</v>
      </c>
      <c r="B15" s="16">
        <v>51</v>
      </c>
      <c r="C15" t="s">
        <v>478</v>
      </c>
      <c r="D15" t="s">
        <v>479</v>
      </c>
    </row>
    <row r="16" spans="1:4" ht="15.75">
      <c r="A16" s="12" t="s">
        <v>112</v>
      </c>
      <c r="B16" s="16">
        <v>42</v>
      </c>
      <c r="C16" t="s">
        <v>478</v>
      </c>
      <c r="D16" t="s">
        <v>479</v>
      </c>
    </row>
    <row r="17" spans="1:4">
      <c r="A17" s="17" t="s">
        <v>116</v>
      </c>
      <c r="B17" s="16">
        <v>69</v>
      </c>
      <c r="C17" t="s">
        <v>478</v>
      </c>
      <c r="D17" t="s">
        <v>479</v>
      </c>
    </row>
    <row r="18" spans="1:4">
      <c r="A18" s="18" t="s">
        <v>120</v>
      </c>
      <c r="B18" s="16">
        <v>48</v>
      </c>
      <c r="C18" t="s">
        <v>478</v>
      </c>
      <c r="D18" t="s">
        <v>479</v>
      </c>
    </row>
    <row r="19" spans="1:4" ht="15.75">
      <c r="A19" s="12" t="s">
        <v>160</v>
      </c>
      <c r="B19" s="16">
        <v>44</v>
      </c>
      <c r="C19" t="s">
        <v>478</v>
      </c>
      <c r="D19" t="s">
        <v>479</v>
      </c>
    </row>
    <row r="20" spans="1:4" ht="15.75">
      <c r="A20" s="12" t="s">
        <v>172</v>
      </c>
      <c r="B20" s="16">
        <v>51</v>
      </c>
      <c r="C20" t="s">
        <v>478</v>
      </c>
      <c r="D20" t="s">
        <v>479</v>
      </c>
    </row>
    <row r="21" spans="1:4" ht="15.75">
      <c r="A21" s="12" t="s">
        <v>180</v>
      </c>
      <c r="B21" s="16">
        <v>63</v>
      </c>
      <c r="C21" t="s">
        <v>478</v>
      </c>
      <c r="D21" t="s">
        <v>479</v>
      </c>
    </row>
    <row r="22" spans="1:4" ht="15.75">
      <c r="A22" s="12" t="s">
        <v>184</v>
      </c>
      <c r="B22" s="16">
        <v>54</v>
      </c>
      <c r="C22" t="s">
        <v>478</v>
      </c>
      <c r="D22" t="s">
        <v>479</v>
      </c>
    </row>
    <row r="23" spans="1:4" ht="15.75">
      <c r="A23" s="12" t="s">
        <v>196</v>
      </c>
      <c r="B23" s="16">
        <v>65</v>
      </c>
      <c r="C23" t="s">
        <v>478</v>
      </c>
      <c r="D23" t="s">
        <v>479</v>
      </c>
    </row>
    <row r="24" spans="1:4" ht="15.75">
      <c r="A24" s="12" t="s">
        <v>216</v>
      </c>
      <c r="B24" s="16">
        <v>63</v>
      </c>
      <c r="C24" t="s">
        <v>478</v>
      </c>
      <c r="D24" t="s">
        <v>479</v>
      </c>
    </row>
    <row r="25" spans="1:4">
      <c r="A25" s="14" t="s">
        <v>244</v>
      </c>
      <c r="B25" s="16">
        <v>64</v>
      </c>
      <c r="C25" t="s">
        <v>478</v>
      </c>
      <c r="D25" t="s">
        <v>479</v>
      </c>
    </row>
    <row r="26" spans="1:4" ht="15.75">
      <c r="A26" s="12" t="s">
        <v>252</v>
      </c>
      <c r="B26" s="12">
        <v>63</v>
      </c>
      <c r="C26" t="s">
        <v>478</v>
      </c>
      <c r="D26" t="s">
        <v>479</v>
      </c>
    </row>
    <row r="27" spans="1:4" ht="15.75">
      <c r="A27" s="12" t="s">
        <v>260</v>
      </c>
      <c r="B27" s="12">
        <v>65</v>
      </c>
      <c r="C27" t="s">
        <v>478</v>
      </c>
      <c r="D27" t="s">
        <v>479</v>
      </c>
    </row>
    <row r="28" spans="1:4" ht="15.75">
      <c r="A28" s="12" t="s">
        <v>284</v>
      </c>
      <c r="B28" s="12">
        <v>55</v>
      </c>
      <c r="C28" t="s">
        <v>478</v>
      </c>
      <c r="D28" t="s">
        <v>479</v>
      </c>
    </row>
    <row r="29" spans="1:4" ht="15.75">
      <c r="A29" s="12" t="s">
        <v>292</v>
      </c>
      <c r="B29" s="12">
        <v>51</v>
      </c>
      <c r="C29" t="s">
        <v>478</v>
      </c>
      <c r="D29" t="s">
        <v>479</v>
      </c>
    </row>
    <row r="30" spans="1:4" ht="15.75">
      <c r="A30" s="12" t="s">
        <v>296</v>
      </c>
      <c r="B30" s="12">
        <v>63</v>
      </c>
      <c r="C30" t="s">
        <v>478</v>
      </c>
      <c r="D30" t="s">
        <v>479</v>
      </c>
    </row>
    <row r="31" spans="1:4">
      <c r="A31" s="14" t="s">
        <v>324</v>
      </c>
      <c r="B31" s="16">
        <v>48</v>
      </c>
      <c r="C31" t="s">
        <v>478</v>
      </c>
      <c r="D31" t="s">
        <v>479</v>
      </c>
    </row>
    <row r="32" spans="1:4">
      <c r="A32" s="14" t="s">
        <v>336</v>
      </c>
      <c r="B32" s="16">
        <v>41</v>
      </c>
      <c r="C32" t="s">
        <v>478</v>
      </c>
      <c r="D32" t="s">
        <v>479</v>
      </c>
    </row>
    <row r="33" spans="1:4">
      <c r="A33" s="14" t="s">
        <v>348</v>
      </c>
      <c r="B33" s="16">
        <v>48</v>
      </c>
      <c r="C33" t="s">
        <v>478</v>
      </c>
      <c r="D33" t="s">
        <v>479</v>
      </c>
    </row>
    <row r="34" spans="1:4" ht="15.75">
      <c r="A34" s="12" t="s">
        <v>388</v>
      </c>
      <c r="B34" s="16">
        <v>67</v>
      </c>
      <c r="C34" t="s">
        <v>478</v>
      </c>
      <c r="D34" t="s">
        <v>479</v>
      </c>
    </row>
    <row r="35" spans="1:4" ht="15.75">
      <c r="A35" s="12" t="s">
        <v>404</v>
      </c>
      <c r="B35" s="16">
        <v>77</v>
      </c>
      <c r="C35" t="s">
        <v>478</v>
      </c>
      <c r="D35" t="s">
        <v>479</v>
      </c>
    </row>
    <row r="36" spans="1:4" ht="15.75">
      <c r="A36" s="12" t="s">
        <v>412</v>
      </c>
      <c r="B36" s="16">
        <v>71</v>
      </c>
      <c r="C36" t="s">
        <v>478</v>
      </c>
      <c r="D36" t="s">
        <v>479</v>
      </c>
    </row>
    <row r="37" spans="1:4" ht="15.75">
      <c r="A37" s="12" t="s">
        <v>431</v>
      </c>
      <c r="B37" s="16">
        <v>60</v>
      </c>
      <c r="C37" t="s">
        <v>478</v>
      </c>
      <c r="D37" t="s">
        <v>479</v>
      </c>
    </row>
    <row r="38" spans="1:4" ht="15.75">
      <c r="A38" s="12" t="s">
        <v>439</v>
      </c>
      <c r="B38" s="16">
        <v>53</v>
      </c>
      <c r="C38" t="s">
        <v>478</v>
      </c>
      <c r="D38" t="s">
        <v>479</v>
      </c>
    </row>
    <row r="39" spans="1:4" ht="15.75">
      <c r="A39" s="12" t="s">
        <v>443</v>
      </c>
      <c r="B39" s="16">
        <v>48</v>
      </c>
      <c r="C39" t="s">
        <v>478</v>
      </c>
      <c r="D39" t="s">
        <v>479</v>
      </c>
    </row>
    <row r="40" spans="1:4" ht="15.75">
      <c r="A40" s="12" t="s">
        <v>455</v>
      </c>
      <c r="B40" s="16">
        <v>64</v>
      </c>
      <c r="C40" t="s">
        <v>478</v>
      </c>
      <c r="D40" t="s">
        <v>479</v>
      </c>
    </row>
    <row r="41" spans="1:4" ht="15.75">
      <c r="A41" s="12" t="s">
        <v>458</v>
      </c>
      <c r="B41" s="16">
        <v>57</v>
      </c>
      <c r="C41" t="s">
        <v>478</v>
      </c>
      <c r="D41" t="s">
        <v>479</v>
      </c>
    </row>
    <row r="42" spans="1:4">
      <c r="A42" s="14" t="s">
        <v>462</v>
      </c>
      <c r="B42" s="16">
        <v>71</v>
      </c>
      <c r="C42" t="s">
        <v>478</v>
      </c>
      <c r="D42" t="s">
        <v>479</v>
      </c>
    </row>
    <row r="43" spans="1:4" ht="15.75">
      <c r="A43" s="12" t="s">
        <v>472</v>
      </c>
      <c r="B43" s="16">
        <v>60</v>
      </c>
      <c r="C43" t="s">
        <v>478</v>
      </c>
      <c r="D43" t="s">
        <v>479</v>
      </c>
    </row>
    <row r="44" spans="1:4">
      <c r="A44" s="14" t="s">
        <v>82</v>
      </c>
      <c r="B44" s="16">
        <v>66</v>
      </c>
      <c r="C44" t="s">
        <v>478</v>
      </c>
      <c r="D44" t="s">
        <v>479</v>
      </c>
    </row>
    <row r="45" spans="1:4">
      <c r="A45" s="14" t="s">
        <v>92</v>
      </c>
      <c r="B45" s="16">
        <v>42</v>
      </c>
      <c r="C45" t="s">
        <v>478</v>
      </c>
      <c r="D45" t="s">
        <v>479</v>
      </c>
    </row>
    <row r="46" spans="1:4" ht="15.75">
      <c r="A46" s="12" t="s">
        <v>102</v>
      </c>
      <c r="B46" s="16">
        <v>67</v>
      </c>
      <c r="C46" t="s">
        <v>478</v>
      </c>
      <c r="D46" t="s">
        <v>479</v>
      </c>
    </row>
    <row r="47" spans="1:4">
      <c r="A47" s="11" t="s">
        <v>140</v>
      </c>
      <c r="B47" s="11">
        <v>60</v>
      </c>
      <c r="C47" t="s">
        <v>478</v>
      </c>
      <c r="D47" t="s">
        <v>479</v>
      </c>
    </row>
    <row r="48" spans="1:4">
      <c r="A48" s="14" t="s">
        <v>236</v>
      </c>
      <c r="B48" s="16">
        <v>51</v>
      </c>
      <c r="C48" t="s">
        <v>478</v>
      </c>
      <c r="D48" t="s">
        <v>479</v>
      </c>
    </row>
    <row r="49" spans="1:4" ht="15.75">
      <c r="A49" s="12" t="s">
        <v>268</v>
      </c>
      <c r="B49" s="12">
        <v>54</v>
      </c>
      <c r="C49" t="s">
        <v>478</v>
      </c>
      <c r="D49" t="s">
        <v>479</v>
      </c>
    </row>
    <row r="50" spans="1:4" ht="15.75">
      <c r="A50" s="12" t="s">
        <v>272</v>
      </c>
      <c r="B50" s="12">
        <v>43</v>
      </c>
      <c r="C50" t="s">
        <v>478</v>
      </c>
      <c r="D50" t="s">
        <v>479</v>
      </c>
    </row>
    <row r="51" spans="1:4" ht="15.75">
      <c r="A51" s="12" t="s">
        <v>304</v>
      </c>
      <c r="B51" s="12">
        <v>50</v>
      </c>
      <c r="C51" t="s">
        <v>478</v>
      </c>
      <c r="D51" t="s">
        <v>479</v>
      </c>
    </row>
    <row r="52" spans="1:4">
      <c r="A52" s="14" t="s">
        <v>340</v>
      </c>
      <c r="B52" s="16">
        <v>59</v>
      </c>
      <c r="C52" t="s">
        <v>478</v>
      </c>
      <c r="D52" t="s">
        <v>479</v>
      </c>
    </row>
    <row r="53" spans="1:4">
      <c r="A53" s="11" t="s">
        <v>344</v>
      </c>
      <c r="B53" s="16">
        <v>51</v>
      </c>
      <c r="C53" t="s">
        <v>478</v>
      </c>
      <c r="D53" t="s">
        <v>479</v>
      </c>
    </row>
    <row r="54" spans="1:4" ht="15.75">
      <c r="A54" s="12" t="s">
        <v>356</v>
      </c>
      <c r="B54" s="16">
        <v>65</v>
      </c>
      <c r="C54" t="s">
        <v>478</v>
      </c>
      <c r="D54" t="s">
        <v>479</v>
      </c>
    </row>
    <row r="55" spans="1:4" ht="15.75">
      <c r="A55" s="12" t="s">
        <v>368</v>
      </c>
      <c r="B55" s="16">
        <v>42</v>
      </c>
      <c r="C55" t="s">
        <v>478</v>
      </c>
      <c r="D55" t="s">
        <v>479</v>
      </c>
    </row>
    <row r="56" spans="1:4" ht="15.75">
      <c r="A56" s="12" t="s">
        <v>396</v>
      </c>
      <c r="B56" s="16">
        <v>59</v>
      </c>
      <c r="C56" t="s">
        <v>478</v>
      </c>
      <c r="D56" t="s">
        <v>479</v>
      </c>
    </row>
    <row r="57" spans="1:4">
      <c r="A57" s="19" t="s">
        <v>400</v>
      </c>
      <c r="B57" s="16">
        <v>50</v>
      </c>
      <c r="C57" t="s">
        <v>478</v>
      </c>
      <c r="D57" t="s">
        <v>479</v>
      </c>
    </row>
    <row r="58" spans="1:4" ht="15.75">
      <c r="A58" s="12" t="s">
        <v>408</v>
      </c>
      <c r="B58" s="16">
        <v>56</v>
      </c>
      <c r="C58" t="s">
        <v>478</v>
      </c>
      <c r="D58" t="s">
        <v>479</v>
      </c>
    </row>
    <row r="59" spans="1:4" ht="15.75">
      <c r="A59" s="12" t="s">
        <v>420</v>
      </c>
      <c r="B59" s="16">
        <v>52</v>
      </c>
      <c r="C59" t="s">
        <v>478</v>
      </c>
      <c r="D59" t="s">
        <v>479</v>
      </c>
    </row>
    <row r="60" spans="1:4" ht="15.75">
      <c r="A60" s="12" t="s">
        <v>427</v>
      </c>
      <c r="B60" s="16">
        <v>73</v>
      </c>
      <c r="C60" t="s">
        <v>478</v>
      </c>
      <c r="D60" t="s">
        <v>479</v>
      </c>
    </row>
    <row r="61" spans="1:4" ht="15.75">
      <c r="A61" s="12" t="s">
        <v>465</v>
      </c>
      <c r="B61" s="16">
        <v>51</v>
      </c>
      <c r="C61" t="s">
        <v>478</v>
      </c>
      <c r="D61" t="s">
        <v>479</v>
      </c>
    </row>
    <row r="62" spans="1:4">
      <c r="A62" s="14" t="s">
        <v>447</v>
      </c>
      <c r="B62" s="16">
        <v>69</v>
      </c>
      <c r="C62" t="s">
        <v>478</v>
      </c>
      <c r="D62" t="s">
        <v>479</v>
      </c>
    </row>
    <row r="63" spans="1:4" ht="15.75">
      <c r="A63" s="12" t="s">
        <v>416</v>
      </c>
      <c r="B63" s="16">
        <v>51</v>
      </c>
      <c r="C63" t="s">
        <v>478</v>
      </c>
      <c r="D63" t="s">
        <v>479</v>
      </c>
    </row>
    <row r="64" spans="1:4" ht="15.75">
      <c r="A64" s="12" t="s">
        <v>212</v>
      </c>
      <c r="B64" s="16">
        <v>68</v>
      </c>
      <c r="C64" t="s">
        <v>478</v>
      </c>
      <c r="D64" t="s">
        <v>479</v>
      </c>
    </row>
    <row r="65" spans="1:4" ht="15.75">
      <c r="A65" s="13" t="s">
        <v>128</v>
      </c>
      <c r="B65">
        <v>63</v>
      </c>
      <c r="C65" s="12" t="s">
        <v>480</v>
      </c>
      <c r="D65" t="s">
        <v>481</v>
      </c>
    </row>
    <row r="66" spans="1:4" ht="15.75">
      <c r="A66" s="11" t="s">
        <v>320</v>
      </c>
      <c r="B66" s="16">
        <v>51</v>
      </c>
      <c r="C66" s="12" t="s">
        <v>480</v>
      </c>
      <c r="D66" t="s">
        <v>481</v>
      </c>
    </row>
    <row r="67" spans="1:4" ht="15.75">
      <c r="A67" s="12" t="s">
        <v>364</v>
      </c>
      <c r="B67" s="16">
        <v>71</v>
      </c>
      <c r="C67" s="12" t="s">
        <v>480</v>
      </c>
      <c r="D67" t="s">
        <v>481</v>
      </c>
    </row>
    <row r="68" spans="1:4" ht="15.75">
      <c r="A68" s="12" t="s">
        <v>435</v>
      </c>
      <c r="B68" s="16">
        <v>56</v>
      </c>
      <c r="C68" s="12" t="s">
        <v>480</v>
      </c>
      <c r="D68" t="s">
        <v>481</v>
      </c>
    </row>
    <row r="69" spans="1:4" ht="15.75">
      <c r="A69" s="12" t="s">
        <v>451</v>
      </c>
      <c r="B69" s="16">
        <v>75</v>
      </c>
      <c r="C69" s="12" t="s">
        <v>480</v>
      </c>
      <c r="D69" t="s">
        <v>481</v>
      </c>
    </row>
    <row r="70" spans="1:4" ht="15.75">
      <c r="A70" s="12" t="s">
        <v>132</v>
      </c>
      <c r="B70" s="16">
        <v>14</v>
      </c>
      <c r="C70" t="s">
        <v>482</v>
      </c>
      <c r="D70" t="s">
        <v>483</v>
      </c>
    </row>
    <row r="71" spans="1:4" ht="15.75">
      <c r="A71" s="12" t="s">
        <v>276</v>
      </c>
      <c r="B71" s="12">
        <v>61</v>
      </c>
      <c r="C71" t="s">
        <v>482</v>
      </c>
      <c r="D71" t="s">
        <v>483</v>
      </c>
    </row>
    <row r="72" spans="1:4" ht="15.75">
      <c r="A72" s="12" t="s">
        <v>300</v>
      </c>
      <c r="B72" s="12">
        <v>31</v>
      </c>
      <c r="C72" t="s">
        <v>482</v>
      </c>
      <c r="D72" t="s">
        <v>483</v>
      </c>
    </row>
    <row r="73" spans="1:4" ht="15.75">
      <c r="A73" s="12" t="s">
        <v>77</v>
      </c>
      <c r="B73" s="16">
        <v>41</v>
      </c>
      <c r="C73" t="s">
        <v>484</v>
      </c>
      <c r="D73" t="s">
        <v>485</v>
      </c>
    </row>
    <row r="74" spans="1:4">
      <c r="A74" s="14" t="s">
        <v>240</v>
      </c>
      <c r="B74" s="16">
        <v>47</v>
      </c>
      <c r="C74" t="s">
        <v>484</v>
      </c>
      <c r="D74" t="s">
        <v>485</v>
      </c>
    </row>
    <row r="75" spans="1:4" ht="15.75">
      <c r="A75" s="11" t="s">
        <v>248</v>
      </c>
      <c r="B75" s="12">
        <v>69</v>
      </c>
      <c r="C75" t="s">
        <v>484</v>
      </c>
      <c r="D75" t="s">
        <v>485</v>
      </c>
    </row>
    <row r="76" spans="1:4">
      <c r="A76" s="11" t="s">
        <v>144</v>
      </c>
      <c r="B76" s="11">
        <v>40</v>
      </c>
      <c r="C76" t="s">
        <v>484</v>
      </c>
      <c r="D76" t="s">
        <v>485</v>
      </c>
    </row>
    <row r="77" spans="1:4">
      <c r="A77" t="s">
        <v>31</v>
      </c>
      <c r="B77">
        <v>48</v>
      </c>
      <c r="C77" t="s">
        <v>484</v>
      </c>
      <c r="D77" t="s">
        <v>485</v>
      </c>
    </row>
    <row r="78" spans="1:4" ht="15.75">
      <c r="A78" s="12" t="s">
        <v>67</v>
      </c>
      <c r="B78" s="16">
        <v>50</v>
      </c>
      <c r="C78" t="s">
        <v>484</v>
      </c>
      <c r="D78" t="s">
        <v>485</v>
      </c>
    </row>
    <row r="79" spans="1:4">
      <c r="A79" s="11" t="s">
        <v>136</v>
      </c>
      <c r="B79" s="11">
        <v>67</v>
      </c>
      <c r="C79" t="s">
        <v>484</v>
      </c>
      <c r="D79" t="s">
        <v>485</v>
      </c>
    </row>
    <row r="80" spans="1:4" ht="15.75">
      <c r="A80" s="12" t="s">
        <v>148</v>
      </c>
      <c r="B80" s="16">
        <v>25</v>
      </c>
      <c r="C80" t="s">
        <v>484</v>
      </c>
      <c r="D80" t="s">
        <v>485</v>
      </c>
    </row>
    <row r="81" spans="1:4" ht="15.75">
      <c r="A81" s="12" t="s">
        <v>152</v>
      </c>
      <c r="B81" s="16">
        <v>28</v>
      </c>
      <c r="C81" t="s">
        <v>484</v>
      </c>
      <c r="D81" t="s">
        <v>485</v>
      </c>
    </row>
    <row r="82" spans="1:4" ht="15.75">
      <c r="A82" s="12" t="s">
        <v>188</v>
      </c>
      <c r="B82" s="16">
        <v>50</v>
      </c>
      <c r="C82" t="s">
        <v>484</v>
      </c>
      <c r="D82" t="s">
        <v>485</v>
      </c>
    </row>
    <row r="83" spans="1:4" ht="15.75">
      <c r="A83" s="12" t="s">
        <v>200</v>
      </c>
      <c r="B83" s="16">
        <v>25</v>
      </c>
      <c r="C83" t="s">
        <v>484</v>
      </c>
      <c r="D83" t="s">
        <v>485</v>
      </c>
    </row>
    <row r="84" spans="1:4" ht="15.75">
      <c r="A84" s="12" t="s">
        <v>220</v>
      </c>
      <c r="B84" s="16">
        <v>37</v>
      </c>
      <c r="C84" t="s">
        <v>484</v>
      </c>
      <c r="D84" t="s">
        <v>485</v>
      </c>
    </row>
    <row r="85" spans="1:4" ht="15.75">
      <c r="A85" s="12" t="s">
        <v>224</v>
      </c>
      <c r="B85" s="16">
        <v>15</v>
      </c>
      <c r="C85" t="s">
        <v>484</v>
      </c>
      <c r="D85" t="s">
        <v>485</v>
      </c>
    </row>
    <row r="86" spans="1:4" ht="15.75">
      <c r="A86" s="12" t="s">
        <v>256</v>
      </c>
      <c r="B86" s="12">
        <v>41</v>
      </c>
      <c r="C86" t="s">
        <v>484</v>
      </c>
      <c r="D86" t="s">
        <v>485</v>
      </c>
    </row>
    <row r="87" spans="1:4" ht="15.75">
      <c r="A87" s="12" t="s">
        <v>264</v>
      </c>
      <c r="B87" s="12">
        <v>32</v>
      </c>
      <c r="C87" t="s">
        <v>484</v>
      </c>
      <c r="D87" t="s">
        <v>485</v>
      </c>
    </row>
    <row r="88" spans="1:4">
      <c r="A88" s="11" t="s">
        <v>308</v>
      </c>
      <c r="B88" s="16">
        <v>52</v>
      </c>
      <c r="C88" t="s">
        <v>484</v>
      </c>
      <c r="D88" t="s">
        <v>485</v>
      </c>
    </row>
    <row r="89" spans="1:4">
      <c r="A89" s="11" t="s">
        <v>316</v>
      </c>
      <c r="B89" s="16">
        <v>36</v>
      </c>
      <c r="C89" t="s">
        <v>484</v>
      </c>
      <c r="D89" t="s">
        <v>485</v>
      </c>
    </row>
    <row r="90" spans="1:4">
      <c r="A90" s="14" t="s">
        <v>328</v>
      </c>
      <c r="B90" s="16">
        <v>56</v>
      </c>
      <c r="C90" t="s">
        <v>484</v>
      </c>
      <c r="D90" t="s">
        <v>485</v>
      </c>
    </row>
    <row r="91" spans="1:4">
      <c r="A91" s="14" t="s">
        <v>332</v>
      </c>
      <c r="B91" s="16">
        <v>35</v>
      </c>
      <c r="C91" t="s">
        <v>484</v>
      </c>
      <c r="D91" t="s">
        <v>485</v>
      </c>
    </row>
    <row r="92" spans="1:4" ht="15.75">
      <c r="A92" s="12" t="s">
        <v>376</v>
      </c>
      <c r="B92" s="16">
        <v>46</v>
      </c>
      <c r="C92" t="s">
        <v>484</v>
      </c>
      <c r="D92" t="s">
        <v>485</v>
      </c>
    </row>
    <row r="93" spans="1:4" ht="15.75">
      <c r="A93" s="12" t="s">
        <v>352</v>
      </c>
      <c r="B93" s="16">
        <v>67</v>
      </c>
      <c r="C93" t="s">
        <v>484</v>
      </c>
      <c r="D93" t="s">
        <v>485</v>
      </c>
    </row>
    <row r="94" spans="1:4">
      <c r="A94" s="14" t="s">
        <v>312</v>
      </c>
      <c r="B94" s="16">
        <v>50</v>
      </c>
      <c r="C94" t="s">
        <v>484</v>
      </c>
      <c r="D94" t="s">
        <v>485</v>
      </c>
    </row>
    <row r="95" spans="1:4" ht="15.75">
      <c r="A95" s="12" t="s">
        <v>204</v>
      </c>
      <c r="B95" s="16">
        <v>30</v>
      </c>
      <c r="C95" t="s">
        <v>486</v>
      </c>
      <c r="D95" t="s">
        <v>487</v>
      </c>
    </row>
    <row r="96" spans="1:4" ht="15.75">
      <c r="A96" s="12" t="s">
        <v>42</v>
      </c>
      <c r="B96" s="12">
        <v>53</v>
      </c>
      <c r="C96" t="s">
        <v>488</v>
      </c>
      <c r="D96" t="s">
        <v>489</v>
      </c>
    </row>
    <row r="97" spans="1:4">
      <c r="A97" s="15" t="s">
        <v>168</v>
      </c>
      <c r="B97" s="16">
        <v>64</v>
      </c>
      <c r="C97" t="s">
        <v>488</v>
      </c>
      <c r="D97" t="s">
        <v>489</v>
      </c>
    </row>
    <row r="98" spans="1:4" ht="15.75">
      <c r="A98" s="12" t="s">
        <v>192</v>
      </c>
      <c r="B98" s="12">
        <v>32</v>
      </c>
      <c r="C98" t="s">
        <v>488</v>
      </c>
      <c r="D98" t="s">
        <v>489</v>
      </c>
    </row>
    <row r="99" spans="1:4">
      <c r="A99" s="14" t="s">
        <v>228</v>
      </c>
      <c r="B99" s="16">
        <v>42</v>
      </c>
      <c r="C99" t="s">
        <v>488</v>
      </c>
      <c r="D99" t="s">
        <v>489</v>
      </c>
    </row>
    <row r="100" spans="1:4" ht="15.75">
      <c r="A100" s="12" t="s">
        <v>360</v>
      </c>
      <c r="B100" s="16">
        <v>56</v>
      </c>
      <c r="C100" t="s">
        <v>488</v>
      </c>
      <c r="D100" t="s">
        <v>489</v>
      </c>
    </row>
    <row r="101" spans="1:4" ht="15.75">
      <c r="A101" s="12" t="s">
        <v>384</v>
      </c>
      <c r="B101" s="16">
        <v>55</v>
      </c>
      <c r="C101" t="s">
        <v>488</v>
      </c>
      <c r="D101" t="s">
        <v>489</v>
      </c>
    </row>
    <row r="102" spans="1:4" ht="15.75">
      <c r="A102" s="12" t="s">
        <v>423</v>
      </c>
      <c r="B102" s="16">
        <v>51</v>
      </c>
      <c r="C102" t="s">
        <v>488</v>
      </c>
      <c r="D102" t="s">
        <v>489</v>
      </c>
    </row>
    <row r="103" spans="1:4" ht="15.75">
      <c r="A103" s="12" t="s">
        <v>468</v>
      </c>
      <c r="B103" s="16">
        <v>54</v>
      </c>
      <c r="C103" t="s">
        <v>488</v>
      </c>
      <c r="D103" t="s">
        <v>489</v>
      </c>
    </row>
    <row r="104" spans="1:4" ht="15.75">
      <c r="A104" s="11" t="s">
        <v>26</v>
      </c>
      <c r="B104">
        <v>18</v>
      </c>
      <c r="C104" s="12" t="s">
        <v>490</v>
      </c>
      <c r="D104" t="s">
        <v>491</v>
      </c>
    </row>
    <row r="105" spans="1:4" ht="15.75">
      <c r="A105" s="12" t="s">
        <v>176</v>
      </c>
      <c r="B105" s="16">
        <v>63</v>
      </c>
      <c r="C105" t="s">
        <v>492</v>
      </c>
      <c r="D105" t="s">
        <v>493</v>
      </c>
    </row>
    <row r="106" spans="1:4" ht="15.75">
      <c r="A106" s="12" t="s">
        <v>208</v>
      </c>
      <c r="B106" s="16">
        <v>57</v>
      </c>
      <c r="C106" t="s">
        <v>492</v>
      </c>
      <c r="D106" t="s">
        <v>493</v>
      </c>
    </row>
    <row r="107" spans="1:4" ht="15.75">
      <c r="A107" s="12" t="s">
        <v>280</v>
      </c>
      <c r="B107" s="12">
        <v>62</v>
      </c>
      <c r="C107" t="s">
        <v>492</v>
      </c>
      <c r="D107" t="s">
        <v>493</v>
      </c>
    </row>
    <row r="108" spans="1:4" ht="15.75">
      <c r="A108" s="12" t="s">
        <v>288</v>
      </c>
      <c r="B108" s="12">
        <v>19</v>
      </c>
      <c r="C108" t="s">
        <v>492</v>
      </c>
      <c r="D108" t="s">
        <v>493</v>
      </c>
    </row>
    <row r="109" spans="1:4" ht="15.75">
      <c r="A109" s="12" t="s">
        <v>156</v>
      </c>
      <c r="B109" s="16">
        <v>25</v>
      </c>
      <c r="C109" s="12" t="s">
        <v>494</v>
      </c>
      <c r="D109" t="s">
        <v>495</v>
      </c>
    </row>
    <row r="110" spans="1:4" ht="15.75">
      <c r="A110" s="18" t="s">
        <v>124</v>
      </c>
      <c r="B110" s="16">
        <v>40</v>
      </c>
      <c r="C110" s="12" t="s">
        <v>496</v>
      </c>
      <c r="D110" t="s">
        <v>497</v>
      </c>
    </row>
    <row r="111" spans="1:4" ht="15.75">
      <c r="A111" s="12" t="s">
        <v>164</v>
      </c>
      <c r="B111" s="16">
        <v>26</v>
      </c>
      <c r="C111" s="12" t="s">
        <v>496</v>
      </c>
      <c r="D111" t="s">
        <v>497</v>
      </c>
    </row>
    <row r="112" spans="1:4" ht="15.75">
      <c r="A112" s="14" t="s">
        <v>232</v>
      </c>
      <c r="B112" s="16">
        <v>40</v>
      </c>
      <c r="C112" s="12" t="s">
        <v>496</v>
      </c>
      <c r="D112" t="s">
        <v>497</v>
      </c>
    </row>
    <row r="113" spans="1:4" ht="15.75">
      <c r="A113" s="12" t="s">
        <v>372</v>
      </c>
      <c r="B113" s="16">
        <v>74</v>
      </c>
      <c r="C113" s="12" t="s">
        <v>496</v>
      </c>
      <c r="D113" t="s">
        <v>497</v>
      </c>
    </row>
    <row r="114" spans="1:4" ht="15.75">
      <c r="A114" s="12" t="s">
        <v>380</v>
      </c>
      <c r="B114" s="16">
        <v>57</v>
      </c>
      <c r="C114" t="s">
        <v>498</v>
      </c>
      <c r="D114" t="s">
        <v>499</v>
      </c>
    </row>
    <row r="115" spans="1:4" ht="15.75">
      <c r="A115" s="12" t="s">
        <v>392</v>
      </c>
      <c r="B115" s="16">
        <v>69</v>
      </c>
      <c r="C115" t="s">
        <v>498</v>
      </c>
      <c r="D115" t="s">
        <v>499</v>
      </c>
    </row>
  </sheetData>
  <autoFilter ref="A1:A115" xr:uid="{00000000-0009-0000-0000-000001000000}"/>
  <phoneticPr fontId="1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1"/>
  <sheetViews>
    <sheetView workbookViewId="0">
      <selection activeCell="D6" sqref="D6"/>
    </sheetView>
  </sheetViews>
  <sheetFormatPr defaultColWidth="8.875" defaultRowHeight="14.25"/>
  <cols>
    <col min="1" max="1" width="19.625" customWidth="1"/>
    <col min="5" max="5" width="29.625" customWidth="1"/>
  </cols>
  <sheetData>
    <row r="1" spans="1:6">
      <c r="A1" t="s">
        <v>500</v>
      </c>
      <c r="B1" t="s">
        <v>0</v>
      </c>
      <c r="C1" t="s">
        <v>1</v>
      </c>
      <c r="D1" t="s">
        <v>3</v>
      </c>
      <c r="E1" t="s">
        <v>501</v>
      </c>
      <c r="F1" t="s">
        <v>5</v>
      </c>
    </row>
    <row r="2" spans="1:6">
      <c r="A2" t="s">
        <v>502</v>
      </c>
      <c r="B2" t="s">
        <v>503</v>
      </c>
      <c r="C2">
        <v>57</v>
      </c>
      <c r="D2" t="s">
        <v>504</v>
      </c>
      <c r="F2" t="s">
        <v>505</v>
      </c>
    </row>
    <row r="3" spans="1:6">
      <c r="A3" t="s">
        <v>502</v>
      </c>
      <c r="B3" t="s">
        <v>506</v>
      </c>
      <c r="C3">
        <v>39</v>
      </c>
      <c r="D3" t="s">
        <v>507</v>
      </c>
      <c r="F3" t="s">
        <v>508</v>
      </c>
    </row>
    <row r="4" spans="1:6">
      <c r="A4" t="s">
        <v>502</v>
      </c>
      <c r="B4" t="s">
        <v>509</v>
      </c>
      <c r="C4">
        <v>35</v>
      </c>
      <c r="D4" t="s">
        <v>510</v>
      </c>
      <c r="F4" t="s">
        <v>511</v>
      </c>
    </row>
    <row r="5" spans="1:6">
      <c r="A5" t="s">
        <v>502</v>
      </c>
      <c r="B5" t="s">
        <v>512</v>
      </c>
      <c r="C5">
        <v>49</v>
      </c>
      <c r="D5" t="s">
        <v>513</v>
      </c>
      <c r="F5" t="s">
        <v>514</v>
      </c>
    </row>
    <row r="6" spans="1:6">
      <c r="A6" t="s">
        <v>502</v>
      </c>
      <c r="B6" t="s">
        <v>515</v>
      </c>
      <c r="C6">
        <v>77</v>
      </c>
      <c r="D6" t="s">
        <v>516</v>
      </c>
      <c r="F6" t="s">
        <v>517</v>
      </c>
    </row>
    <row r="7" spans="1:6">
      <c r="A7" t="s">
        <v>502</v>
      </c>
      <c r="B7" t="s">
        <v>518</v>
      </c>
      <c r="C7">
        <v>50</v>
      </c>
      <c r="D7" t="s">
        <v>519</v>
      </c>
      <c r="F7" t="s">
        <v>520</v>
      </c>
    </row>
    <row r="8" spans="1:6">
      <c r="A8" t="s">
        <v>502</v>
      </c>
      <c r="B8" t="s">
        <v>521</v>
      </c>
      <c r="C8">
        <v>40</v>
      </c>
      <c r="D8" t="s">
        <v>522</v>
      </c>
      <c r="F8" t="s">
        <v>523</v>
      </c>
    </row>
    <row r="9" spans="1:6">
      <c r="A9" t="s">
        <v>502</v>
      </c>
      <c r="B9" t="s">
        <v>524</v>
      </c>
      <c r="C9">
        <v>63</v>
      </c>
      <c r="D9" t="s">
        <v>525</v>
      </c>
      <c r="F9" t="s">
        <v>526</v>
      </c>
    </row>
    <row r="10" spans="1:6">
      <c r="A10" t="s">
        <v>502</v>
      </c>
      <c r="B10" t="s">
        <v>527</v>
      </c>
      <c r="C10">
        <v>50</v>
      </c>
      <c r="D10" t="s">
        <v>528</v>
      </c>
      <c r="F10" t="s">
        <v>529</v>
      </c>
    </row>
    <row r="11" spans="1:6">
      <c r="A11" t="s">
        <v>530</v>
      </c>
      <c r="B11" t="s">
        <v>531</v>
      </c>
      <c r="C11">
        <v>40</v>
      </c>
      <c r="D11" t="s">
        <v>532</v>
      </c>
      <c r="F11" t="s">
        <v>533</v>
      </c>
    </row>
    <row r="12" spans="1:6">
      <c r="A12" t="s">
        <v>530</v>
      </c>
      <c r="B12" t="s">
        <v>534</v>
      </c>
      <c r="C12">
        <v>33</v>
      </c>
      <c r="D12" t="s">
        <v>535</v>
      </c>
      <c r="F12" t="s">
        <v>536</v>
      </c>
    </row>
    <row r="13" spans="1:6">
      <c r="A13" t="s">
        <v>530</v>
      </c>
      <c r="B13" t="s">
        <v>537</v>
      </c>
      <c r="C13">
        <v>40</v>
      </c>
      <c r="D13" t="s">
        <v>538</v>
      </c>
      <c r="F13" t="s">
        <v>539</v>
      </c>
    </row>
    <row r="14" spans="1:6">
      <c r="A14" t="s">
        <v>530</v>
      </c>
      <c r="B14" t="s">
        <v>540</v>
      </c>
      <c r="C14">
        <v>27</v>
      </c>
      <c r="D14" t="s">
        <v>541</v>
      </c>
      <c r="F14" t="s">
        <v>542</v>
      </c>
    </row>
    <row r="15" spans="1:6">
      <c r="A15" t="s">
        <v>530</v>
      </c>
      <c r="B15" t="s">
        <v>543</v>
      </c>
      <c r="C15">
        <v>25</v>
      </c>
      <c r="D15" t="s">
        <v>544</v>
      </c>
      <c r="F15" t="s">
        <v>545</v>
      </c>
    </row>
    <row r="16" spans="1:6">
      <c r="A16" t="s">
        <v>530</v>
      </c>
      <c r="B16" t="s">
        <v>546</v>
      </c>
      <c r="C16">
        <v>26</v>
      </c>
      <c r="D16" t="s">
        <v>547</v>
      </c>
      <c r="F16" t="s">
        <v>548</v>
      </c>
    </row>
    <row r="17" spans="1:6">
      <c r="A17" t="s">
        <v>530</v>
      </c>
      <c r="B17" t="s">
        <v>549</v>
      </c>
      <c r="C17">
        <v>38</v>
      </c>
      <c r="D17" t="s">
        <v>550</v>
      </c>
      <c r="F17" t="s">
        <v>551</v>
      </c>
    </row>
    <row r="18" spans="1:6">
      <c r="A18" t="s">
        <v>530</v>
      </c>
      <c r="B18" t="s">
        <v>552</v>
      </c>
      <c r="C18">
        <v>35</v>
      </c>
      <c r="D18" t="s">
        <v>553</v>
      </c>
      <c r="F18" t="s">
        <v>554</v>
      </c>
    </row>
    <row r="19" spans="1:6">
      <c r="A19" t="s">
        <v>530</v>
      </c>
      <c r="B19" t="s">
        <v>555</v>
      </c>
      <c r="C19">
        <v>44</v>
      </c>
      <c r="D19" t="s">
        <v>556</v>
      </c>
      <c r="F19" t="s">
        <v>557</v>
      </c>
    </row>
    <row r="20" spans="1:6">
      <c r="A20" t="s">
        <v>530</v>
      </c>
      <c r="B20" t="s">
        <v>558</v>
      </c>
      <c r="C20">
        <v>32</v>
      </c>
      <c r="D20" t="s">
        <v>559</v>
      </c>
      <c r="F20" t="s">
        <v>560</v>
      </c>
    </row>
    <row r="21" spans="1:6">
      <c r="A21" t="s">
        <v>530</v>
      </c>
      <c r="B21" t="s">
        <v>561</v>
      </c>
      <c r="C21">
        <v>27</v>
      </c>
      <c r="D21" t="s">
        <v>562</v>
      </c>
      <c r="F21" t="s">
        <v>563</v>
      </c>
    </row>
    <row r="22" spans="1:6">
      <c r="A22" t="s">
        <v>530</v>
      </c>
      <c r="B22" t="s">
        <v>564</v>
      </c>
      <c r="C22">
        <v>49</v>
      </c>
      <c r="D22" t="s">
        <v>565</v>
      </c>
      <c r="F22" t="s">
        <v>566</v>
      </c>
    </row>
    <row r="23" spans="1:6">
      <c r="A23" t="s">
        <v>530</v>
      </c>
      <c r="B23" t="s">
        <v>567</v>
      </c>
      <c r="C23">
        <v>23</v>
      </c>
      <c r="D23" t="s">
        <v>568</v>
      </c>
      <c r="F23" t="s">
        <v>569</v>
      </c>
    </row>
    <row r="24" spans="1:6">
      <c r="A24" t="s">
        <v>530</v>
      </c>
      <c r="B24" t="s">
        <v>570</v>
      </c>
      <c r="C24">
        <v>30</v>
      </c>
      <c r="D24" t="s">
        <v>571</v>
      </c>
      <c r="F24" t="s">
        <v>572</v>
      </c>
    </row>
    <row r="25" spans="1:6">
      <c r="A25" t="s">
        <v>530</v>
      </c>
      <c r="B25" t="s">
        <v>573</v>
      </c>
      <c r="C25">
        <v>50</v>
      </c>
      <c r="D25" t="s">
        <v>574</v>
      </c>
      <c r="F25" t="s">
        <v>575</v>
      </c>
    </row>
    <row r="26" spans="1:6">
      <c r="A26" t="s">
        <v>530</v>
      </c>
      <c r="B26" t="s">
        <v>576</v>
      </c>
      <c r="C26">
        <v>58</v>
      </c>
      <c r="D26" t="s">
        <v>577</v>
      </c>
      <c r="F26" t="s">
        <v>578</v>
      </c>
    </row>
    <row r="27" spans="1:6">
      <c r="A27" t="s">
        <v>530</v>
      </c>
      <c r="B27" t="s">
        <v>579</v>
      </c>
      <c r="C27">
        <v>42</v>
      </c>
      <c r="D27" t="s">
        <v>580</v>
      </c>
      <c r="F27" t="s">
        <v>581</v>
      </c>
    </row>
    <row r="28" spans="1:6">
      <c r="A28" t="s">
        <v>530</v>
      </c>
      <c r="B28" t="s">
        <v>582</v>
      </c>
      <c r="C28">
        <v>30</v>
      </c>
      <c r="D28" t="s">
        <v>583</v>
      </c>
      <c r="F28" t="s">
        <v>584</v>
      </c>
    </row>
    <row r="29" spans="1:6">
      <c r="A29" t="s">
        <v>530</v>
      </c>
      <c r="B29" t="s">
        <v>585</v>
      </c>
      <c r="C29">
        <v>45</v>
      </c>
      <c r="D29" t="s">
        <v>532</v>
      </c>
      <c r="F29" t="s">
        <v>586</v>
      </c>
    </row>
    <row r="30" spans="1:6">
      <c r="A30" t="s">
        <v>530</v>
      </c>
      <c r="B30" t="s">
        <v>587</v>
      </c>
      <c r="C30">
        <v>22</v>
      </c>
      <c r="D30" t="s">
        <v>588</v>
      </c>
      <c r="F30" t="s">
        <v>589</v>
      </c>
    </row>
    <row r="31" spans="1:6">
      <c r="A31" t="s">
        <v>530</v>
      </c>
      <c r="B31" t="s">
        <v>590</v>
      </c>
      <c r="C31">
        <v>41</v>
      </c>
      <c r="D31" t="s">
        <v>591</v>
      </c>
      <c r="F31" t="s">
        <v>592</v>
      </c>
    </row>
    <row r="32" spans="1:6">
      <c r="A32" t="s">
        <v>530</v>
      </c>
      <c r="B32" t="s">
        <v>593</v>
      </c>
      <c r="C32">
        <v>46</v>
      </c>
      <c r="D32" t="s">
        <v>594</v>
      </c>
      <c r="F32" t="s">
        <v>595</v>
      </c>
    </row>
    <row r="33" spans="1:6">
      <c r="A33" t="s">
        <v>530</v>
      </c>
      <c r="B33" t="s">
        <v>596</v>
      </c>
      <c r="C33">
        <v>42</v>
      </c>
      <c r="D33" t="s">
        <v>597</v>
      </c>
      <c r="F33" t="s">
        <v>598</v>
      </c>
    </row>
    <row r="34" spans="1:6">
      <c r="A34" t="s">
        <v>530</v>
      </c>
      <c r="B34" t="s">
        <v>599</v>
      </c>
      <c r="C34">
        <v>38</v>
      </c>
      <c r="D34" t="s">
        <v>600</v>
      </c>
      <c r="F34" t="s">
        <v>601</v>
      </c>
    </row>
    <row r="35" spans="1:6">
      <c r="A35" t="s">
        <v>530</v>
      </c>
      <c r="B35" t="s">
        <v>602</v>
      </c>
      <c r="C35">
        <v>39</v>
      </c>
      <c r="D35" t="s">
        <v>603</v>
      </c>
      <c r="F35" t="s">
        <v>604</v>
      </c>
    </row>
    <row r="36" spans="1:6">
      <c r="A36" t="s">
        <v>530</v>
      </c>
      <c r="B36" t="s">
        <v>605</v>
      </c>
      <c r="C36">
        <v>28</v>
      </c>
      <c r="D36" t="s">
        <v>606</v>
      </c>
      <c r="F36" t="s">
        <v>607</v>
      </c>
    </row>
    <row r="37" spans="1:6">
      <c r="A37" t="s">
        <v>530</v>
      </c>
      <c r="B37" t="s">
        <v>608</v>
      </c>
      <c r="C37">
        <v>48</v>
      </c>
      <c r="D37" t="s">
        <v>609</v>
      </c>
      <c r="F37" t="s">
        <v>610</v>
      </c>
    </row>
    <row r="38" spans="1:6">
      <c r="A38" t="s">
        <v>530</v>
      </c>
      <c r="B38" t="s">
        <v>534</v>
      </c>
      <c r="C38">
        <v>33</v>
      </c>
      <c r="D38" t="s">
        <v>611</v>
      </c>
      <c r="E38" t="s">
        <v>612</v>
      </c>
      <c r="F38" t="s">
        <v>613</v>
      </c>
    </row>
    <row r="39" spans="1:6">
      <c r="A39" t="s">
        <v>530</v>
      </c>
      <c r="B39" t="s">
        <v>614</v>
      </c>
      <c r="C39">
        <v>53</v>
      </c>
      <c r="D39" t="s">
        <v>615</v>
      </c>
      <c r="F39" t="s">
        <v>616</v>
      </c>
    </row>
    <row r="40" spans="1:6">
      <c r="A40" t="s">
        <v>530</v>
      </c>
      <c r="B40" t="s">
        <v>617</v>
      </c>
      <c r="C40">
        <v>24</v>
      </c>
      <c r="D40" t="s">
        <v>618</v>
      </c>
      <c r="F40" t="s">
        <v>619</v>
      </c>
    </row>
    <row r="41" spans="1:6">
      <c r="A41" t="s">
        <v>530</v>
      </c>
      <c r="B41" t="s">
        <v>620</v>
      </c>
      <c r="C41">
        <v>41</v>
      </c>
      <c r="D41" t="s">
        <v>621</v>
      </c>
      <c r="F41" t="s">
        <v>622</v>
      </c>
    </row>
    <row r="42" spans="1:6">
      <c r="A42" t="s">
        <v>530</v>
      </c>
      <c r="B42" t="s">
        <v>623</v>
      </c>
      <c r="C42">
        <v>35</v>
      </c>
      <c r="D42" t="s">
        <v>624</v>
      </c>
      <c r="F42" t="s">
        <v>625</v>
      </c>
    </row>
    <row r="43" spans="1:6">
      <c r="A43" t="s">
        <v>530</v>
      </c>
      <c r="B43" t="s">
        <v>626</v>
      </c>
      <c r="C43">
        <v>52</v>
      </c>
      <c r="D43" t="s">
        <v>627</v>
      </c>
      <c r="F43" t="s">
        <v>628</v>
      </c>
    </row>
    <row r="44" spans="1:6">
      <c r="A44" t="s">
        <v>530</v>
      </c>
      <c r="B44" t="s">
        <v>629</v>
      </c>
      <c r="C44">
        <v>41</v>
      </c>
      <c r="D44" t="s">
        <v>630</v>
      </c>
      <c r="F44" t="s">
        <v>631</v>
      </c>
    </row>
    <row r="45" spans="1:6">
      <c r="A45" t="s">
        <v>530</v>
      </c>
      <c r="B45" t="s">
        <v>632</v>
      </c>
      <c r="C45">
        <v>44</v>
      </c>
      <c r="D45" t="s">
        <v>633</v>
      </c>
      <c r="F45" t="s">
        <v>634</v>
      </c>
    </row>
    <row r="46" spans="1:6">
      <c r="A46" t="s">
        <v>530</v>
      </c>
      <c r="B46" t="s">
        <v>635</v>
      </c>
      <c r="C46">
        <v>40</v>
      </c>
      <c r="D46" t="s">
        <v>636</v>
      </c>
      <c r="F46" t="s">
        <v>637</v>
      </c>
    </row>
    <row r="47" spans="1:6">
      <c r="A47" t="s">
        <v>530</v>
      </c>
      <c r="B47" t="s">
        <v>638</v>
      </c>
      <c r="C47">
        <v>35</v>
      </c>
      <c r="D47" t="s">
        <v>639</v>
      </c>
      <c r="F47" t="s">
        <v>640</v>
      </c>
    </row>
    <row r="48" spans="1:6">
      <c r="A48" t="s">
        <v>530</v>
      </c>
      <c r="B48" t="s">
        <v>641</v>
      </c>
      <c r="C48">
        <v>20</v>
      </c>
      <c r="D48" t="s">
        <v>642</v>
      </c>
      <c r="F48" t="s">
        <v>643</v>
      </c>
    </row>
    <row r="49" spans="1:6">
      <c r="A49" t="s">
        <v>530</v>
      </c>
      <c r="B49" t="s">
        <v>644</v>
      </c>
      <c r="C49">
        <v>33</v>
      </c>
      <c r="D49" t="s">
        <v>645</v>
      </c>
      <c r="F49" t="s">
        <v>646</v>
      </c>
    </row>
    <row r="50" spans="1:6">
      <c r="A50" t="s">
        <v>530</v>
      </c>
      <c r="B50" t="s">
        <v>647</v>
      </c>
      <c r="C50">
        <v>46</v>
      </c>
      <c r="D50" t="s">
        <v>648</v>
      </c>
      <c r="F50" t="s">
        <v>649</v>
      </c>
    </row>
    <row r="51" spans="1:6">
      <c r="A51" t="s">
        <v>530</v>
      </c>
      <c r="B51" t="s">
        <v>650</v>
      </c>
      <c r="C51">
        <v>43</v>
      </c>
      <c r="D51" t="s">
        <v>651</v>
      </c>
      <c r="F51" t="s">
        <v>652</v>
      </c>
    </row>
    <row r="52" spans="1:6">
      <c r="A52" t="s">
        <v>530</v>
      </c>
      <c r="B52" t="s">
        <v>653</v>
      </c>
      <c r="C52">
        <v>34</v>
      </c>
      <c r="D52" t="s">
        <v>654</v>
      </c>
      <c r="F52" t="s">
        <v>655</v>
      </c>
    </row>
    <row r="53" spans="1:6">
      <c r="A53" t="s">
        <v>530</v>
      </c>
      <c r="B53" t="s">
        <v>656</v>
      </c>
      <c r="C53">
        <v>34</v>
      </c>
      <c r="D53" t="s">
        <v>657</v>
      </c>
      <c r="F53" t="s">
        <v>658</v>
      </c>
    </row>
    <row r="54" spans="1:6">
      <c r="A54" t="s">
        <v>530</v>
      </c>
      <c r="B54" t="s">
        <v>659</v>
      </c>
      <c r="C54">
        <v>39</v>
      </c>
      <c r="D54" t="s">
        <v>660</v>
      </c>
      <c r="F54" t="s">
        <v>661</v>
      </c>
    </row>
    <row r="55" spans="1:6">
      <c r="A55" t="s">
        <v>530</v>
      </c>
      <c r="B55" t="s">
        <v>662</v>
      </c>
      <c r="C55">
        <v>26</v>
      </c>
      <c r="D55" t="s">
        <v>663</v>
      </c>
      <c r="F55" t="s">
        <v>664</v>
      </c>
    </row>
    <row r="56" spans="1:6">
      <c r="A56" t="s">
        <v>530</v>
      </c>
      <c r="B56" t="s">
        <v>665</v>
      </c>
      <c r="C56">
        <v>38</v>
      </c>
      <c r="D56" t="s">
        <v>666</v>
      </c>
      <c r="F56" t="s">
        <v>667</v>
      </c>
    </row>
    <row r="57" spans="1:6">
      <c r="A57" t="s">
        <v>530</v>
      </c>
      <c r="B57" t="s">
        <v>668</v>
      </c>
      <c r="C57">
        <v>46</v>
      </c>
      <c r="D57" t="s">
        <v>669</v>
      </c>
      <c r="F57" t="s">
        <v>670</v>
      </c>
    </row>
    <row r="58" spans="1:6">
      <c r="A58" t="s">
        <v>530</v>
      </c>
      <c r="B58" t="s">
        <v>671</v>
      </c>
      <c r="C58">
        <v>36</v>
      </c>
      <c r="D58" t="s">
        <v>672</v>
      </c>
      <c r="E58" t="s">
        <v>673</v>
      </c>
      <c r="F58" t="s">
        <v>674</v>
      </c>
    </row>
    <row r="59" spans="1:6">
      <c r="A59" t="s">
        <v>530</v>
      </c>
      <c r="B59" t="s">
        <v>675</v>
      </c>
      <c r="C59">
        <v>30</v>
      </c>
      <c r="D59" t="s">
        <v>676</v>
      </c>
      <c r="F59" t="s">
        <v>677</v>
      </c>
    </row>
    <row r="60" spans="1:6">
      <c r="A60" t="s">
        <v>530</v>
      </c>
      <c r="B60" t="s">
        <v>678</v>
      </c>
      <c r="C60">
        <v>21</v>
      </c>
      <c r="D60" t="s">
        <v>679</v>
      </c>
      <c r="F60" t="s">
        <v>680</v>
      </c>
    </row>
    <row r="61" spans="1:6">
      <c r="A61" t="s">
        <v>530</v>
      </c>
      <c r="B61" t="s">
        <v>681</v>
      </c>
      <c r="C61">
        <v>36</v>
      </c>
      <c r="D61" t="s">
        <v>682</v>
      </c>
      <c r="F61" t="s">
        <v>683</v>
      </c>
    </row>
    <row r="62" spans="1:6">
      <c r="A62" t="s">
        <v>530</v>
      </c>
      <c r="B62" t="s">
        <v>684</v>
      </c>
      <c r="C62">
        <v>47</v>
      </c>
      <c r="D62" t="s">
        <v>685</v>
      </c>
      <c r="F62" t="s">
        <v>686</v>
      </c>
    </row>
    <row r="63" spans="1:6">
      <c r="A63" t="s">
        <v>530</v>
      </c>
      <c r="B63" t="s">
        <v>687</v>
      </c>
      <c r="C63">
        <v>26</v>
      </c>
      <c r="D63" t="s">
        <v>688</v>
      </c>
      <c r="F63" t="s">
        <v>689</v>
      </c>
    </row>
    <row r="64" spans="1:6">
      <c r="A64" t="s">
        <v>530</v>
      </c>
      <c r="B64" t="s">
        <v>690</v>
      </c>
      <c r="C64">
        <v>27</v>
      </c>
      <c r="D64" t="s">
        <v>691</v>
      </c>
      <c r="F64" t="s">
        <v>692</v>
      </c>
    </row>
    <row r="65" spans="1:6">
      <c r="A65" t="s">
        <v>530</v>
      </c>
      <c r="B65" t="s">
        <v>693</v>
      </c>
      <c r="C65">
        <v>23</v>
      </c>
      <c r="D65" t="s">
        <v>694</v>
      </c>
      <c r="F65" t="s">
        <v>695</v>
      </c>
    </row>
    <row r="66" spans="1:6">
      <c r="A66" t="s">
        <v>530</v>
      </c>
      <c r="B66" t="s">
        <v>696</v>
      </c>
      <c r="C66">
        <v>32</v>
      </c>
      <c r="D66" t="s">
        <v>697</v>
      </c>
      <c r="F66" t="s">
        <v>698</v>
      </c>
    </row>
    <row r="67" spans="1:6">
      <c r="A67" t="s">
        <v>530</v>
      </c>
      <c r="B67" t="s">
        <v>699</v>
      </c>
      <c r="C67">
        <v>27</v>
      </c>
      <c r="D67" t="s">
        <v>700</v>
      </c>
      <c r="F67" t="s">
        <v>701</v>
      </c>
    </row>
    <row r="68" spans="1:6">
      <c r="A68" t="s">
        <v>530</v>
      </c>
      <c r="B68" t="s">
        <v>702</v>
      </c>
      <c r="C68">
        <v>33</v>
      </c>
      <c r="D68" t="s">
        <v>703</v>
      </c>
      <c r="F68" t="s">
        <v>704</v>
      </c>
    </row>
    <row r="69" spans="1:6">
      <c r="A69" t="s">
        <v>530</v>
      </c>
      <c r="B69" t="s">
        <v>705</v>
      </c>
      <c r="C69">
        <v>37</v>
      </c>
      <c r="D69" t="s">
        <v>706</v>
      </c>
      <c r="F69" t="s">
        <v>707</v>
      </c>
    </row>
    <row r="70" spans="1:6">
      <c r="A70" t="s">
        <v>530</v>
      </c>
      <c r="B70" t="s">
        <v>708</v>
      </c>
      <c r="C70">
        <v>47</v>
      </c>
      <c r="D70" t="s">
        <v>709</v>
      </c>
      <c r="F70" t="s">
        <v>710</v>
      </c>
    </row>
    <row r="71" spans="1:6">
      <c r="A71" t="s">
        <v>530</v>
      </c>
      <c r="B71" t="s">
        <v>711</v>
      </c>
      <c r="C71">
        <v>31</v>
      </c>
      <c r="D71" t="s">
        <v>712</v>
      </c>
      <c r="F71" t="s">
        <v>713</v>
      </c>
    </row>
    <row r="72" spans="1:6">
      <c r="A72" t="s">
        <v>530</v>
      </c>
      <c r="B72" t="s">
        <v>714</v>
      </c>
      <c r="C72">
        <v>52</v>
      </c>
      <c r="D72" t="s">
        <v>715</v>
      </c>
      <c r="F72" t="s">
        <v>716</v>
      </c>
    </row>
    <row r="73" spans="1:6">
      <c r="A73" t="s">
        <v>530</v>
      </c>
      <c r="B73" t="s">
        <v>717</v>
      </c>
      <c r="C73">
        <v>26</v>
      </c>
      <c r="D73" t="s">
        <v>718</v>
      </c>
      <c r="F73" t="s">
        <v>719</v>
      </c>
    </row>
    <row r="74" spans="1:6">
      <c r="A74" t="s">
        <v>530</v>
      </c>
      <c r="B74" t="s">
        <v>720</v>
      </c>
      <c r="C74">
        <v>38</v>
      </c>
      <c r="D74" t="s">
        <v>721</v>
      </c>
      <c r="F74" t="s">
        <v>722</v>
      </c>
    </row>
    <row r="75" spans="1:6">
      <c r="A75" t="s">
        <v>530</v>
      </c>
      <c r="B75" t="s">
        <v>723</v>
      </c>
      <c r="C75">
        <v>31</v>
      </c>
      <c r="D75" t="s">
        <v>724</v>
      </c>
      <c r="F75" t="s">
        <v>725</v>
      </c>
    </row>
    <row r="76" spans="1:6">
      <c r="A76" t="s">
        <v>530</v>
      </c>
      <c r="B76" t="s">
        <v>726</v>
      </c>
      <c r="C76">
        <v>31</v>
      </c>
      <c r="D76" t="s">
        <v>727</v>
      </c>
      <c r="F76" t="s">
        <v>728</v>
      </c>
    </row>
    <row r="77" spans="1:6">
      <c r="A77" t="s">
        <v>530</v>
      </c>
      <c r="B77" t="s">
        <v>729</v>
      </c>
      <c r="C77">
        <v>24</v>
      </c>
      <c r="D77" t="s">
        <v>730</v>
      </c>
      <c r="F77" t="s">
        <v>731</v>
      </c>
    </row>
    <row r="78" spans="1:6">
      <c r="A78" t="s">
        <v>530</v>
      </c>
      <c r="B78" t="s">
        <v>732</v>
      </c>
      <c r="C78">
        <v>26</v>
      </c>
      <c r="D78" t="s">
        <v>733</v>
      </c>
      <c r="F78" t="s">
        <v>734</v>
      </c>
    </row>
    <row r="79" spans="1:6">
      <c r="A79" t="s">
        <v>530</v>
      </c>
      <c r="B79" t="s">
        <v>735</v>
      </c>
      <c r="C79">
        <v>35</v>
      </c>
      <c r="D79" t="s">
        <v>736</v>
      </c>
      <c r="F79" t="s">
        <v>737</v>
      </c>
    </row>
    <row r="80" spans="1:6">
      <c r="A80" t="s">
        <v>530</v>
      </c>
      <c r="B80" t="s">
        <v>738</v>
      </c>
      <c r="C80">
        <v>31</v>
      </c>
      <c r="D80" t="s">
        <v>739</v>
      </c>
      <c r="F80" t="s">
        <v>740</v>
      </c>
    </row>
    <row r="81" spans="1:6">
      <c r="A81" t="s">
        <v>530</v>
      </c>
      <c r="B81" t="s">
        <v>741</v>
      </c>
      <c r="C81">
        <v>28</v>
      </c>
      <c r="D81" t="s">
        <v>742</v>
      </c>
      <c r="F81" t="s">
        <v>743</v>
      </c>
    </row>
    <row r="82" spans="1:6">
      <c r="A82" t="s">
        <v>530</v>
      </c>
      <c r="B82" t="s">
        <v>744</v>
      </c>
      <c r="C82">
        <v>48</v>
      </c>
      <c r="D82" t="s">
        <v>745</v>
      </c>
      <c r="F82" t="s">
        <v>746</v>
      </c>
    </row>
    <row r="83" spans="1:6">
      <c r="A83" t="s">
        <v>530</v>
      </c>
      <c r="B83" t="s">
        <v>747</v>
      </c>
      <c r="C83">
        <v>31</v>
      </c>
      <c r="D83" t="s">
        <v>748</v>
      </c>
      <c r="F83" t="s">
        <v>749</v>
      </c>
    </row>
    <row r="84" spans="1:6">
      <c r="A84" t="s">
        <v>530</v>
      </c>
      <c r="B84" t="s">
        <v>750</v>
      </c>
      <c r="C84">
        <v>41</v>
      </c>
      <c r="D84" t="s">
        <v>751</v>
      </c>
      <c r="F84" t="s">
        <v>752</v>
      </c>
    </row>
    <row r="85" spans="1:6">
      <c r="A85" t="s">
        <v>530</v>
      </c>
      <c r="B85" t="s">
        <v>753</v>
      </c>
      <c r="C85">
        <v>25</v>
      </c>
      <c r="D85" t="s">
        <v>754</v>
      </c>
      <c r="F85" t="s">
        <v>755</v>
      </c>
    </row>
    <row r="86" spans="1:6">
      <c r="A86" t="s">
        <v>530</v>
      </c>
      <c r="B86" t="s">
        <v>756</v>
      </c>
      <c r="C86">
        <v>42</v>
      </c>
      <c r="D86" t="s">
        <v>757</v>
      </c>
      <c r="F86" t="s">
        <v>758</v>
      </c>
    </row>
    <row r="87" spans="1:6">
      <c r="A87" t="s">
        <v>530</v>
      </c>
      <c r="B87" t="s">
        <v>759</v>
      </c>
      <c r="C87">
        <v>44</v>
      </c>
      <c r="D87" t="s">
        <v>760</v>
      </c>
      <c r="F87" t="s">
        <v>761</v>
      </c>
    </row>
    <row r="88" spans="1:6">
      <c r="A88" t="s">
        <v>530</v>
      </c>
      <c r="B88" t="s">
        <v>762</v>
      </c>
      <c r="C88">
        <v>45</v>
      </c>
      <c r="D88" t="s">
        <v>763</v>
      </c>
      <c r="F88" t="s">
        <v>764</v>
      </c>
    </row>
    <row r="89" spans="1:6">
      <c r="A89" t="s">
        <v>530</v>
      </c>
      <c r="B89" t="s">
        <v>765</v>
      </c>
      <c r="C89">
        <v>20</v>
      </c>
      <c r="D89" t="s">
        <v>766</v>
      </c>
      <c r="E89" t="s">
        <v>767</v>
      </c>
      <c r="F89" t="s">
        <v>768</v>
      </c>
    </row>
    <row r="90" spans="1:6">
      <c r="A90" t="s">
        <v>530</v>
      </c>
      <c r="B90" t="s">
        <v>769</v>
      </c>
      <c r="C90">
        <v>47</v>
      </c>
      <c r="D90" t="s">
        <v>770</v>
      </c>
      <c r="E90" t="s">
        <v>767</v>
      </c>
      <c r="F90" t="s">
        <v>771</v>
      </c>
    </row>
    <row r="91" spans="1:6">
      <c r="A91" t="s">
        <v>530</v>
      </c>
      <c r="B91" t="s">
        <v>772</v>
      </c>
      <c r="C91">
        <v>20</v>
      </c>
      <c r="D91" t="s">
        <v>773</v>
      </c>
      <c r="F91" t="s">
        <v>774</v>
      </c>
    </row>
    <row r="92" spans="1:6">
      <c r="A92" t="s">
        <v>530</v>
      </c>
      <c r="B92" t="s">
        <v>775</v>
      </c>
      <c r="C92">
        <v>37</v>
      </c>
      <c r="D92" t="s">
        <v>776</v>
      </c>
      <c r="F92" t="s">
        <v>777</v>
      </c>
    </row>
    <row r="93" spans="1:6">
      <c r="A93" t="s">
        <v>530</v>
      </c>
      <c r="B93" t="s">
        <v>778</v>
      </c>
      <c r="C93">
        <v>32</v>
      </c>
      <c r="D93" t="s">
        <v>779</v>
      </c>
      <c r="F93" t="s">
        <v>780</v>
      </c>
    </row>
    <row r="94" spans="1:6">
      <c r="A94" t="s">
        <v>530</v>
      </c>
      <c r="B94" t="s">
        <v>781</v>
      </c>
      <c r="C94">
        <v>30</v>
      </c>
      <c r="D94" t="s">
        <v>782</v>
      </c>
      <c r="F94" t="s">
        <v>783</v>
      </c>
    </row>
    <row r="95" spans="1:6">
      <c r="A95" t="s">
        <v>530</v>
      </c>
      <c r="B95" t="s">
        <v>784</v>
      </c>
      <c r="C95">
        <v>33</v>
      </c>
      <c r="D95" t="s">
        <v>785</v>
      </c>
      <c r="F95" t="s">
        <v>786</v>
      </c>
    </row>
    <row r="96" spans="1:6">
      <c r="A96" t="s">
        <v>530</v>
      </c>
      <c r="B96" t="s">
        <v>787</v>
      </c>
      <c r="C96">
        <v>43</v>
      </c>
      <c r="D96" t="s">
        <v>788</v>
      </c>
      <c r="F96" t="s">
        <v>789</v>
      </c>
    </row>
    <row r="97" spans="1:6">
      <c r="A97" t="s">
        <v>790</v>
      </c>
      <c r="B97" t="s">
        <v>791</v>
      </c>
      <c r="C97">
        <v>34</v>
      </c>
      <c r="D97" t="s">
        <v>792</v>
      </c>
      <c r="F97" t="s">
        <v>793</v>
      </c>
    </row>
    <row r="98" spans="1:6">
      <c r="A98" t="s">
        <v>790</v>
      </c>
      <c r="B98" t="s">
        <v>794</v>
      </c>
      <c r="C98">
        <v>30</v>
      </c>
      <c r="D98" t="s">
        <v>795</v>
      </c>
      <c r="F98" t="s">
        <v>796</v>
      </c>
    </row>
    <row r="99" spans="1:6">
      <c r="A99" t="s">
        <v>790</v>
      </c>
      <c r="B99" t="s">
        <v>797</v>
      </c>
      <c r="C99">
        <v>43</v>
      </c>
      <c r="D99" t="s">
        <v>798</v>
      </c>
      <c r="F99" t="s">
        <v>799</v>
      </c>
    </row>
    <row r="100" spans="1:6">
      <c r="A100" t="s">
        <v>790</v>
      </c>
      <c r="B100" t="s">
        <v>800</v>
      </c>
      <c r="C100">
        <v>28</v>
      </c>
      <c r="D100" t="s">
        <v>801</v>
      </c>
      <c r="F100" t="s">
        <v>802</v>
      </c>
    </row>
    <row r="101" spans="1:6">
      <c r="A101" t="s">
        <v>790</v>
      </c>
      <c r="B101" t="s">
        <v>803</v>
      </c>
      <c r="C101">
        <v>27</v>
      </c>
      <c r="D101" t="s">
        <v>804</v>
      </c>
      <c r="F101" t="s">
        <v>805</v>
      </c>
    </row>
    <row r="102" spans="1:6">
      <c r="A102" t="s">
        <v>790</v>
      </c>
      <c r="B102" t="s">
        <v>806</v>
      </c>
      <c r="C102">
        <v>23</v>
      </c>
      <c r="D102" t="s">
        <v>807</v>
      </c>
      <c r="F102" t="s">
        <v>808</v>
      </c>
    </row>
    <row r="103" spans="1:6">
      <c r="A103" t="s">
        <v>790</v>
      </c>
      <c r="B103" t="s">
        <v>809</v>
      </c>
      <c r="C103">
        <v>20</v>
      </c>
      <c r="D103" t="s">
        <v>810</v>
      </c>
      <c r="F103" t="s">
        <v>811</v>
      </c>
    </row>
    <row r="104" spans="1:6">
      <c r="A104" t="s">
        <v>790</v>
      </c>
      <c r="B104" t="s">
        <v>812</v>
      </c>
      <c r="C104">
        <v>32</v>
      </c>
      <c r="D104" t="s">
        <v>813</v>
      </c>
      <c r="F104" t="s">
        <v>814</v>
      </c>
    </row>
    <row r="105" spans="1:6">
      <c r="A105" t="s">
        <v>790</v>
      </c>
      <c r="B105" t="s">
        <v>815</v>
      </c>
      <c r="C105">
        <v>34</v>
      </c>
      <c r="D105" t="s">
        <v>816</v>
      </c>
      <c r="F105" t="s">
        <v>817</v>
      </c>
    </row>
    <row r="106" spans="1:6">
      <c r="A106" t="s">
        <v>790</v>
      </c>
      <c r="B106" t="s">
        <v>818</v>
      </c>
      <c r="C106">
        <v>21</v>
      </c>
      <c r="D106" t="s">
        <v>819</v>
      </c>
      <c r="F106" t="s">
        <v>820</v>
      </c>
    </row>
    <row r="107" spans="1:6">
      <c r="A107" t="s">
        <v>790</v>
      </c>
      <c r="B107" t="s">
        <v>821</v>
      </c>
      <c r="C107">
        <v>26</v>
      </c>
      <c r="D107" t="s">
        <v>822</v>
      </c>
      <c r="F107" t="s">
        <v>823</v>
      </c>
    </row>
    <row r="108" spans="1:6">
      <c r="A108" t="s">
        <v>790</v>
      </c>
      <c r="B108" t="s">
        <v>824</v>
      </c>
      <c r="C108">
        <v>21</v>
      </c>
      <c r="D108" t="s">
        <v>825</v>
      </c>
      <c r="F108" t="s">
        <v>826</v>
      </c>
    </row>
    <row r="109" spans="1:6">
      <c r="A109" t="s">
        <v>790</v>
      </c>
      <c r="B109" t="s">
        <v>827</v>
      </c>
      <c r="C109">
        <v>23</v>
      </c>
      <c r="D109" t="s">
        <v>828</v>
      </c>
      <c r="F109" t="s">
        <v>829</v>
      </c>
    </row>
    <row r="110" spans="1:6">
      <c r="A110" t="s">
        <v>790</v>
      </c>
      <c r="B110" t="s">
        <v>830</v>
      </c>
      <c r="C110">
        <v>24</v>
      </c>
      <c r="D110" t="s">
        <v>831</v>
      </c>
      <c r="F110" t="s">
        <v>832</v>
      </c>
    </row>
    <row r="111" spans="1:6">
      <c r="A111" t="s">
        <v>790</v>
      </c>
      <c r="B111" t="s">
        <v>833</v>
      </c>
      <c r="C111">
        <v>24</v>
      </c>
      <c r="D111" t="s">
        <v>834</v>
      </c>
      <c r="F111" t="s">
        <v>835</v>
      </c>
    </row>
    <row r="112" spans="1:6">
      <c r="A112" t="s">
        <v>790</v>
      </c>
      <c r="B112" t="s">
        <v>836</v>
      </c>
      <c r="C112">
        <v>55</v>
      </c>
      <c r="D112" t="s">
        <v>837</v>
      </c>
      <c r="F112" t="s">
        <v>838</v>
      </c>
    </row>
    <row r="113" spans="1:6">
      <c r="A113" t="s">
        <v>790</v>
      </c>
      <c r="B113" t="s">
        <v>839</v>
      </c>
      <c r="C113">
        <v>26</v>
      </c>
      <c r="D113" t="s">
        <v>840</v>
      </c>
      <c r="F113" t="s">
        <v>841</v>
      </c>
    </row>
    <row r="114" spans="1:6">
      <c r="A114" t="s">
        <v>790</v>
      </c>
      <c r="B114" t="s">
        <v>842</v>
      </c>
      <c r="C114">
        <v>29</v>
      </c>
      <c r="D114" t="s">
        <v>843</v>
      </c>
      <c r="F114" t="s">
        <v>844</v>
      </c>
    </row>
    <row r="115" spans="1:6">
      <c r="A115" t="s">
        <v>790</v>
      </c>
      <c r="B115" t="s">
        <v>845</v>
      </c>
      <c r="C115">
        <v>27</v>
      </c>
      <c r="D115" t="s">
        <v>846</v>
      </c>
      <c r="F115" t="s">
        <v>847</v>
      </c>
    </row>
    <row r="116" spans="1:6">
      <c r="A116" t="s">
        <v>790</v>
      </c>
      <c r="B116" t="s">
        <v>848</v>
      </c>
      <c r="C116">
        <v>32</v>
      </c>
      <c r="D116" t="s">
        <v>849</v>
      </c>
      <c r="F116" t="s">
        <v>850</v>
      </c>
    </row>
    <row r="117" spans="1:6">
      <c r="A117" t="s">
        <v>790</v>
      </c>
      <c r="B117" t="s">
        <v>851</v>
      </c>
      <c r="C117">
        <v>22</v>
      </c>
      <c r="D117" t="s">
        <v>852</v>
      </c>
      <c r="F117" t="s">
        <v>853</v>
      </c>
    </row>
    <row r="118" spans="1:6">
      <c r="A118" t="s">
        <v>790</v>
      </c>
      <c r="B118" t="s">
        <v>854</v>
      </c>
      <c r="C118">
        <v>24</v>
      </c>
      <c r="D118" t="s">
        <v>855</v>
      </c>
      <c r="F118" t="s">
        <v>856</v>
      </c>
    </row>
    <row r="119" spans="1:6">
      <c r="A119" t="s">
        <v>790</v>
      </c>
      <c r="B119" t="s">
        <v>857</v>
      </c>
      <c r="C119">
        <v>23</v>
      </c>
      <c r="D119" t="s">
        <v>858</v>
      </c>
      <c r="F119" t="s">
        <v>859</v>
      </c>
    </row>
    <row r="120" spans="1:6">
      <c r="A120" t="s">
        <v>860</v>
      </c>
      <c r="B120" t="s">
        <v>861</v>
      </c>
      <c r="C120">
        <v>23</v>
      </c>
      <c r="D120" t="s">
        <v>862</v>
      </c>
      <c r="F120" t="s">
        <v>863</v>
      </c>
    </row>
    <row r="121" spans="1:6">
      <c r="A121" t="s">
        <v>860</v>
      </c>
      <c r="B121" t="s">
        <v>864</v>
      </c>
      <c r="C121">
        <v>52</v>
      </c>
      <c r="D121" t="s">
        <v>865</v>
      </c>
      <c r="F121" t="s">
        <v>866</v>
      </c>
    </row>
    <row r="122" spans="1:6">
      <c r="A122" t="s">
        <v>860</v>
      </c>
      <c r="B122" t="s">
        <v>867</v>
      </c>
      <c r="C122">
        <v>54</v>
      </c>
      <c r="D122" t="s">
        <v>868</v>
      </c>
      <c r="F122" t="s">
        <v>869</v>
      </c>
    </row>
    <row r="123" spans="1:6">
      <c r="A123" t="s">
        <v>860</v>
      </c>
      <c r="B123" t="s">
        <v>870</v>
      </c>
      <c r="C123">
        <v>30</v>
      </c>
      <c r="D123" t="s">
        <v>871</v>
      </c>
      <c r="F123" t="s">
        <v>872</v>
      </c>
    </row>
    <row r="124" spans="1:6">
      <c r="A124" t="s">
        <v>860</v>
      </c>
      <c r="B124" t="s">
        <v>873</v>
      </c>
      <c r="C124">
        <v>56</v>
      </c>
      <c r="D124" t="s">
        <v>874</v>
      </c>
      <c r="F124" t="s">
        <v>875</v>
      </c>
    </row>
    <row r="125" spans="1:6">
      <c r="A125" t="s">
        <v>860</v>
      </c>
      <c r="B125" t="s">
        <v>876</v>
      </c>
      <c r="C125">
        <v>53</v>
      </c>
      <c r="D125" t="s">
        <v>877</v>
      </c>
      <c r="F125" t="s">
        <v>878</v>
      </c>
    </row>
    <row r="126" spans="1:6">
      <c r="A126" t="s">
        <v>860</v>
      </c>
      <c r="B126" t="s">
        <v>879</v>
      </c>
      <c r="C126">
        <v>49</v>
      </c>
      <c r="D126" t="s">
        <v>880</v>
      </c>
      <c r="F126" t="s">
        <v>881</v>
      </c>
    </row>
    <row r="127" spans="1:6">
      <c r="A127" t="s">
        <v>860</v>
      </c>
      <c r="B127" t="s">
        <v>882</v>
      </c>
      <c r="C127">
        <v>48</v>
      </c>
      <c r="D127" t="s">
        <v>883</v>
      </c>
      <c r="F127" t="s">
        <v>884</v>
      </c>
    </row>
    <row r="128" spans="1:6">
      <c r="A128" t="s">
        <v>860</v>
      </c>
      <c r="B128" t="s">
        <v>885</v>
      </c>
      <c r="C128">
        <v>47</v>
      </c>
      <c r="D128" t="s">
        <v>886</v>
      </c>
      <c r="F128" t="s">
        <v>887</v>
      </c>
    </row>
    <row r="129" spans="1:6">
      <c r="A129" t="s">
        <v>860</v>
      </c>
      <c r="B129" t="s">
        <v>888</v>
      </c>
      <c r="C129">
        <v>60</v>
      </c>
      <c r="D129" t="s">
        <v>889</v>
      </c>
      <c r="F129" t="s">
        <v>890</v>
      </c>
    </row>
    <row r="130" spans="1:6">
      <c r="A130" t="s">
        <v>860</v>
      </c>
      <c r="B130" t="s">
        <v>891</v>
      </c>
      <c r="C130">
        <v>59</v>
      </c>
      <c r="D130" t="s">
        <v>892</v>
      </c>
      <c r="F130" t="s">
        <v>893</v>
      </c>
    </row>
    <row r="131" spans="1:6">
      <c r="A131" t="s">
        <v>860</v>
      </c>
      <c r="B131" t="s">
        <v>894</v>
      </c>
      <c r="C131">
        <v>36</v>
      </c>
      <c r="D131" t="s">
        <v>895</v>
      </c>
      <c r="F131" t="s">
        <v>896</v>
      </c>
    </row>
  </sheetData>
  <autoFilter ref="A1:A131" xr:uid="{00000000-0009-0000-0000-000002000000}"/>
  <phoneticPr fontId="1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71"/>
  <sheetViews>
    <sheetView topLeftCell="A43" workbookViewId="0">
      <selection activeCell="J1" sqref="J1:L71"/>
    </sheetView>
  </sheetViews>
  <sheetFormatPr defaultColWidth="8.875" defaultRowHeight="14.25"/>
  <sheetData>
    <row r="1" spans="1:12">
      <c r="A1" t="s">
        <v>897</v>
      </c>
      <c r="B1" t="s">
        <v>898</v>
      </c>
      <c r="C1" t="s">
        <v>0</v>
      </c>
      <c r="D1" t="s">
        <v>899</v>
      </c>
      <c r="E1" t="s">
        <v>1</v>
      </c>
      <c r="F1" t="s">
        <v>900</v>
      </c>
      <c r="G1" t="s">
        <v>901</v>
      </c>
      <c r="H1" t="s">
        <v>902</v>
      </c>
      <c r="I1" t="s">
        <v>903</v>
      </c>
      <c r="J1" t="s">
        <v>904</v>
      </c>
      <c r="L1" t="s">
        <v>5</v>
      </c>
    </row>
    <row r="2" spans="1:12">
      <c r="A2">
        <v>2</v>
      </c>
      <c r="B2">
        <v>20325286</v>
      </c>
      <c r="C2" t="s">
        <v>905</v>
      </c>
      <c r="D2" t="s">
        <v>906</v>
      </c>
      <c r="E2">
        <v>43</v>
      </c>
      <c r="F2" t="s">
        <v>907</v>
      </c>
      <c r="G2">
        <v>3.3</v>
      </c>
      <c r="H2">
        <v>13</v>
      </c>
      <c r="I2">
        <v>22</v>
      </c>
      <c r="J2" t="s">
        <v>908</v>
      </c>
      <c r="L2" t="s">
        <v>909</v>
      </c>
    </row>
    <row r="3" spans="1:12">
      <c r="A3">
        <v>4</v>
      </c>
      <c r="B3">
        <v>20374776</v>
      </c>
      <c r="C3" t="s">
        <v>910</v>
      </c>
      <c r="D3" t="s">
        <v>906</v>
      </c>
      <c r="E3">
        <v>27</v>
      </c>
      <c r="F3" t="s">
        <v>907</v>
      </c>
      <c r="G3">
        <v>2.9</v>
      </c>
      <c r="H3">
        <v>20</v>
      </c>
      <c r="I3">
        <v>11</v>
      </c>
      <c r="J3" t="s">
        <v>911</v>
      </c>
      <c r="L3" t="s">
        <v>912</v>
      </c>
    </row>
    <row r="4" spans="1:12">
      <c r="A4">
        <v>6</v>
      </c>
      <c r="B4">
        <v>20375385</v>
      </c>
      <c r="C4" t="s">
        <v>913</v>
      </c>
      <c r="D4" t="s">
        <v>906</v>
      </c>
      <c r="E4">
        <v>22</v>
      </c>
      <c r="F4" t="s">
        <v>907</v>
      </c>
      <c r="H4">
        <v>12</v>
      </c>
      <c r="I4">
        <v>7</v>
      </c>
      <c r="J4" t="s">
        <v>914</v>
      </c>
      <c r="L4" t="s">
        <v>915</v>
      </c>
    </row>
    <row r="5" spans="1:12">
      <c r="A5">
        <v>7</v>
      </c>
      <c r="B5">
        <v>20325220</v>
      </c>
      <c r="C5" t="s">
        <v>916</v>
      </c>
      <c r="D5" t="s">
        <v>906</v>
      </c>
      <c r="E5">
        <v>42</v>
      </c>
      <c r="F5" t="s">
        <v>907</v>
      </c>
      <c r="G5">
        <v>2</v>
      </c>
      <c r="H5">
        <v>17</v>
      </c>
      <c r="I5">
        <v>15</v>
      </c>
      <c r="J5" t="s">
        <v>917</v>
      </c>
      <c r="L5" t="s">
        <v>918</v>
      </c>
    </row>
    <row r="6" spans="1:12">
      <c r="A6">
        <v>8</v>
      </c>
      <c r="B6">
        <v>20374716</v>
      </c>
      <c r="C6" t="s">
        <v>919</v>
      </c>
      <c r="D6" t="s">
        <v>906</v>
      </c>
      <c r="E6">
        <v>35</v>
      </c>
      <c r="F6" t="s">
        <v>907</v>
      </c>
      <c r="H6">
        <v>20</v>
      </c>
      <c r="I6">
        <v>32</v>
      </c>
      <c r="J6" t="s">
        <v>920</v>
      </c>
      <c r="L6" t="s">
        <v>921</v>
      </c>
    </row>
    <row r="7" spans="1:12">
      <c r="A7">
        <v>10</v>
      </c>
      <c r="B7">
        <v>20374647</v>
      </c>
      <c r="C7" t="s">
        <v>922</v>
      </c>
      <c r="D7" t="s">
        <v>906</v>
      </c>
      <c r="E7">
        <v>34</v>
      </c>
      <c r="F7" t="s">
        <v>907</v>
      </c>
      <c r="H7">
        <v>23</v>
      </c>
      <c r="I7">
        <v>14</v>
      </c>
      <c r="J7" t="s">
        <v>923</v>
      </c>
      <c r="L7" t="s">
        <v>924</v>
      </c>
    </row>
    <row r="8" spans="1:12">
      <c r="A8">
        <v>12</v>
      </c>
      <c r="B8">
        <v>20374670</v>
      </c>
      <c r="C8" t="s">
        <v>925</v>
      </c>
      <c r="D8" t="s">
        <v>906</v>
      </c>
      <c r="E8">
        <v>40</v>
      </c>
      <c r="F8" t="s">
        <v>907</v>
      </c>
      <c r="H8">
        <v>16</v>
      </c>
      <c r="I8">
        <v>9</v>
      </c>
      <c r="J8" t="s">
        <v>926</v>
      </c>
      <c r="L8" t="s">
        <v>927</v>
      </c>
    </row>
    <row r="9" spans="1:12">
      <c r="A9">
        <v>14</v>
      </c>
      <c r="B9">
        <v>20374937</v>
      </c>
      <c r="C9" t="s">
        <v>928</v>
      </c>
      <c r="D9" t="s">
        <v>906</v>
      </c>
      <c r="E9">
        <v>27</v>
      </c>
      <c r="F9" t="s">
        <v>907</v>
      </c>
      <c r="H9">
        <v>17</v>
      </c>
      <c r="I9">
        <v>10</v>
      </c>
      <c r="J9" t="s">
        <v>929</v>
      </c>
      <c r="L9" t="s">
        <v>930</v>
      </c>
    </row>
    <row r="10" spans="1:12">
      <c r="A10">
        <v>16</v>
      </c>
      <c r="B10">
        <v>20360372</v>
      </c>
      <c r="C10" t="s">
        <v>931</v>
      </c>
      <c r="D10" t="s">
        <v>906</v>
      </c>
      <c r="E10">
        <v>29</v>
      </c>
      <c r="F10" t="s">
        <v>907</v>
      </c>
      <c r="G10">
        <v>1.8</v>
      </c>
      <c r="H10">
        <v>15</v>
      </c>
      <c r="I10">
        <v>9</v>
      </c>
      <c r="J10" t="s">
        <v>932</v>
      </c>
      <c r="L10" t="s">
        <v>933</v>
      </c>
    </row>
    <row r="11" spans="1:12">
      <c r="A11">
        <v>17</v>
      </c>
      <c r="B11">
        <v>20375250</v>
      </c>
      <c r="C11" t="s">
        <v>934</v>
      </c>
      <c r="D11" t="s">
        <v>906</v>
      </c>
      <c r="E11">
        <v>23</v>
      </c>
      <c r="F11" t="s">
        <v>907</v>
      </c>
      <c r="G11">
        <v>2.5</v>
      </c>
      <c r="H11">
        <v>13</v>
      </c>
      <c r="I11">
        <v>7</v>
      </c>
      <c r="J11" t="s">
        <v>935</v>
      </c>
      <c r="L11" t="s">
        <v>936</v>
      </c>
    </row>
    <row r="12" spans="1:12">
      <c r="A12">
        <v>19</v>
      </c>
      <c r="B12">
        <v>20375034</v>
      </c>
      <c r="C12" t="s">
        <v>937</v>
      </c>
      <c r="D12" t="s">
        <v>906</v>
      </c>
      <c r="E12">
        <v>25</v>
      </c>
      <c r="F12" t="s">
        <v>907</v>
      </c>
      <c r="G12">
        <v>0.7</v>
      </c>
      <c r="H12">
        <v>22</v>
      </c>
      <c r="I12">
        <v>45</v>
      </c>
      <c r="J12" t="s">
        <v>938</v>
      </c>
      <c r="L12" t="s">
        <v>939</v>
      </c>
    </row>
    <row r="13" spans="1:12">
      <c r="A13">
        <v>22</v>
      </c>
      <c r="B13">
        <v>20365155</v>
      </c>
      <c r="C13" t="s">
        <v>940</v>
      </c>
      <c r="D13" t="s">
        <v>906</v>
      </c>
      <c r="E13">
        <v>31</v>
      </c>
      <c r="F13" t="s">
        <v>907</v>
      </c>
      <c r="G13">
        <v>1.2</v>
      </c>
      <c r="H13">
        <v>13</v>
      </c>
      <c r="I13">
        <v>18</v>
      </c>
      <c r="J13" t="s">
        <v>941</v>
      </c>
      <c r="L13" t="s">
        <v>942</v>
      </c>
    </row>
    <row r="14" spans="1:12">
      <c r="A14">
        <v>23</v>
      </c>
      <c r="B14">
        <v>20325306</v>
      </c>
      <c r="C14" t="s">
        <v>943</v>
      </c>
      <c r="D14" t="s">
        <v>906</v>
      </c>
      <c r="E14">
        <v>51</v>
      </c>
      <c r="F14" t="s">
        <v>907</v>
      </c>
      <c r="G14">
        <v>6.9</v>
      </c>
      <c r="H14">
        <v>15</v>
      </c>
      <c r="I14">
        <v>10</v>
      </c>
      <c r="J14" t="s">
        <v>944</v>
      </c>
      <c r="L14" t="s">
        <v>945</v>
      </c>
    </row>
    <row r="15" spans="1:12">
      <c r="A15">
        <v>25</v>
      </c>
      <c r="B15">
        <v>20363121</v>
      </c>
      <c r="C15" t="s">
        <v>946</v>
      </c>
      <c r="D15" t="s">
        <v>906</v>
      </c>
      <c r="E15">
        <v>33</v>
      </c>
      <c r="F15" t="s">
        <v>907</v>
      </c>
      <c r="G15">
        <v>2.6</v>
      </c>
      <c r="H15">
        <v>11</v>
      </c>
      <c r="I15">
        <v>7</v>
      </c>
      <c r="J15" t="s">
        <v>947</v>
      </c>
      <c r="L15" t="s">
        <v>948</v>
      </c>
    </row>
    <row r="16" spans="1:12">
      <c r="A16">
        <v>26</v>
      </c>
      <c r="B16">
        <v>20325281</v>
      </c>
      <c r="C16" t="s">
        <v>949</v>
      </c>
      <c r="D16" t="s">
        <v>906</v>
      </c>
      <c r="E16">
        <v>40</v>
      </c>
      <c r="F16" t="s">
        <v>907</v>
      </c>
      <c r="G16">
        <v>2.1</v>
      </c>
      <c r="H16">
        <v>23</v>
      </c>
      <c r="I16">
        <v>21</v>
      </c>
      <c r="J16" t="s">
        <v>950</v>
      </c>
      <c r="L16" t="s">
        <v>951</v>
      </c>
    </row>
    <row r="17" spans="1:12">
      <c r="A17">
        <v>28</v>
      </c>
      <c r="B17">
        <v>20282447</v>
      </c>
      <c r="C17" t="s">
        <v>952</v>
      </c>
      <c r="D17" t="s">
        <v>906</v>
      </c>
      <c r="E17">
        <v>49</v>
      </c>
      <c r="F17" t="s">
        <v>907</v>
      </c>
      <c r="G17">
        <v>5.8</v>
      </c>
      <c r="H17">
        <v>32</v>
      </c>
      <c r="I17">
        <v>34</v>
      </c>
      <c r="J17" t="s">
        <v>953</v>
      </c>
      <c r="L17" t="s">
        <v>954</v>
      </c>
    </row>
    <row r="18" spans="1:12">
      <c r="A18">
        <v>30</v>
      </c>
      <c r="B18">
        <v>20324270</v>
      </c>
      <c r="C18" t="s">
        <v>955</v>
      </c>
      <c r="D18" t="s">
        <v>906</v>
      </c>
      <c r="E18">
        <v>45</v>
      </c>
      <c r="F18" t="s">
        <v>907</v>
      </c>
      <c r="J18" t="s">
        <v>956</v>
      </c>
      <c r="L18" t="s">
        <v>957</v>
      </c>
    </row>
    <row r="19" spans="1:12">
      <c r="A19">
        <v>31</v>
      </c>
      <c r="B19">
        <v>20874444</v>
      </c>
      <c r="C19" t="s">
        <v>958</v>
      </c>
      <c r="D19" t="s">
        <v>906</v>
      </c>
      <c r="E19">
        <v>28</v>
      </c>
      <c r="F19" t="s">
        <v>907</v>
      </c>
      <c r="G19">
        <v>1.3</v>
      </c>
      <c r="H19">
        <v>16</v>
      </c>
      <c r="I19">
        <v>11</v>
      </c>
      <c r="J19" t="s">
        <v>959</v>
      </c>
      <c r="L19" t="s">
        <v>960</v>
      </c>
    </row>
    <row r="20" spans="1:12">
      <c r="A20">
        <v>35</v>
      </c>
      <c r="B20">
        <v>20374549</v>
      </c>
      <c r="C20" t="s">
        <v>961</v>
      </c>
      <c r="D20" t="s">
        <v>906</v>
      </c>
      <c r="E20">
        <v>28</v>
      </c>
      <c r="F20" t="s">
        <v>907</v>
      </c>
      <c r="G20">
        <v>3</v>
      </c>
      <c r="H20">
        <v>21</v>
      </c>
      <c r="I20">
        <v>17</v>
      </c>
      <c r="J20" t="s">
        <v>962</v>
      </c>
      <c r="L20" t="s">
        <v>963</v>
      </c>
    </row>
    <row r="21" spans="1:12">
      <c r="A21">
        <v>36</v>
      </c>
      <c r="B21">
        <v>20374302</v>
      </c>
      <c r="C21" t="s">
        <v>964</v>
      </c>
      <c r="D21" t="s">
        <v>906</v>
      </c>
      <c r="E21">
        <v>41</v>
      </c>
      <c r="F21" t="s">
        <v>907</v>
      </c>
      <c r="G21">
        <v>2</v>
      </c>
      <c r="H21">
        <v>22</v>
      </c>
      <c r="I21">
        <v>18</v>
      </c>
      <c r="J21" t="s">
        <v>965</v>
      </c>
      <c r="L21" t="s">
        <v>966</v>
      </c>
    </row>
    <row r="22" spans="1:12">
      <c r="A22">
        <v>38</v>
      </c>
      <c r="B22">
        <v>20374624</v>
      </c>
      <c r="C22" t="s">
        <v>967</v>
      </c>
      <c r="D22" t="s">
        <v>906</v>
      </c>
      <c r="E22">
        <v>32</v>
      </c>
      <c r="F22" t="s">
        <v>907</v>
      </c>
      <c r="I22">
        <v>15</v>
      </c>
      <c r="J22" t="s">
        <v>968</v>
      </c>
      <c r="L22" t="s">
        <v>969</v>
      </c>
    </row>
    <row r="23" spans="1:12">
      <c r="A23">
        <v>40</v>
      </c>
      <c r="B23">
        <v>20365111</v>
      </c>
      <c r="C23" t="s">
        <v>970</v>
      </c>
      <c r="D23" t="s">
        <v>906</v>
      </c>
      <c r="E23">
        <v>29</v>
      </c>
      <c r="F23" t="s">
        <v>907</v>
      </c>
      <c r="G23">
        <v>2.5</v>
      </c>
      <c r="H23">
        <v>14</v>
      </c>
      <c r="I23">
        <v>11</v>
      </c>
      <c r="J23" t="s">
        <v>971</v>
      </c>
      <c r="L23" t="s">
        <v>972</v>
      </c>
    </row>
    <row r="24" spans="1:12">
      <c r="A24">
        <v>46</v>
      </c>
      <c r="B24">
        <v>20375483</v>
      </c>
      <c r="C24" t="s">
        <v>973</v>
      </c>
      <c r="D24" t="s">
        <v>906</v>
      </c>
      <c r="E24">
        <v>22</v>
      </c>
      <c r="F24" t="s">
        <v>907</v>
      </c>
      <c r="H24">
        <v>12</v>
      </c>
      <c r="I24">
        <v>8</v>
      </c>
      <c r="J24" t="s">
        <v>974</v>
      </c>
      <c r="L24" t="s">
        <v>975</v>
      </c>
    </row>
    <row r="25" spans="1:12">
      <c r="A25">
        <v>49</v>
      </c>
      <c r="B25">
        <v>20379600</v>
      </c>
      <c r="C25" t="s">
        <v>976</v>
      </c>
      <c r="D25" t="s">
        <v>906</v>
      </c>
      <c r="E25">
        <v>51</v>
      </c>
      <c r="F25" t="s">
        <v>907</v>
      </c>
      <c r="G25">
        <v>1.5</v>
      </c>
      <c r="H25">
        <v>23</v>
      </c>
      <c r="I25">
        <v>19</v>
      </c>
      <c r="J25" t="s">
        <v>977</v>
      </c>
      <c r="L25" t="s">
        <v>978</v>
      </c>
    </row>
    <row r="26" spans="1:12">
      <c r="A26">
        <v>50</v>
      </c>
      <c r="B26">
        <v>20325685</v>
      </c>
      <c r="C26" t="s">
        <v>979</v>
      </c>
      <c r="D26" t="s">
        <v>906</v>
      </c>
      <c r="E26">
        <v>32</v>
      </c>
      <c r="F26" t="s">
        <v>907</v>
      </c>
      <c r="G26">
        <v>1</v>
      </c>
      <c r="H26">
        <v>21</v>
      </c>
      <c r="I26">
        <v>15</v>
      </c>
      <c r="J26" t="s">
        <v>980</v>
      </c>
      <c r="L26" t="s">
        <v>981</v>
      </c>
    </row>
    <row r="27" spans="1:12">
      <c r="A27">
        <v>62</v>
      </c>
      <c r="B27">
        <v>20325884</v>
      </c>
      <c r="C27" t="s">
        <v>982</v>
      </c>
      <c r="D27" t="s">
        <v>906</v>
      </c>
      <c r="E27">
        <v>48</v>
      </c>
      <c r="F27" t="s">
        <v>907</v>
      </c>
      <c r="G27">
        <v>2.9</v>
      </c>
      <c r="H27">
        <v>16</v>
      </c>
      <c r="I27">
        <v>9</v>
      </c>
      <c r="J27" t="s">
        <v>983</v>
      </c>
      <c r="L27" t="s">
        <v>984</v>
      </c>
    </row>
    <row r="28" spans="1:12">
      <c r="A28">
        <v>65</v>
      </c>
      <c r="B28">
        <v>20380122</v>
      </c>
      <c r="C28" t="s">
        <v>985</v>
      </c>
      <c r="D28" t="s">
        <v>906</v>
      </c>
      <c r="E28">
        <v>23</v>
      </c>
      <c r="F28" t="s">
        <v>907</v>
      </c>
      <c r="H28">
        <v>19</v>
      </c>
      <c r="I28">
        <v>12</v>
      </c>
      <c r="J28" t="s">
        <v>986</v>
      </c>
      <c r="L28" t="s">
        <v>987</v>
      </c>
    </row>
    <row r="29" spans="1:12">
      <c r="A29">
        <v>68</v>
      </c>
      <c r="B29">
        <v>20325470</v>
      </c>
      <c r="C29" t="s">
        <v>988</v>
      </c>
      <c r="D29" t="s">
        <v>906</v>
      </c>
      <c r="E29">
        <v>32</v>
      </c>
      <c r="F29" t="s">
        <v>907</v>
      </c>
      <c r="G29">
        <v>6</v>
      </c>
      <c r="H29">
        <v>16</v>
      </c>
      <c r="I29">
        <v>9</v>
      </c>
      <c r="J29" t="s">
        <v>989</v>
      </c>
      <c r="L29" t="s">
        <v>990</v>
      </c>
    </row>
    <row r="30" spans="1:12">
      <c r="A30">
        <v>69</v>
      </c>
      <c r="B30">
        <v>20366409</v>
      </c>
      <c r="C30" t="s">
        <v>991</v>
      </c>
      <c r="D30" t="s">
        <v>906</v>
      </c>
      <c r="E30">
        <v>81</v>
      </c>
      <c r="F30" t="s">
        <v>907</v>
      </c>
      <c r="G30">
        <v>3</v>
      </c>
      <c r="H30">
        <v>29</v>
      </c>
      <c r="I30">
        <v>18</v>
      </c>
      <c r="J30" t="s">
        <v>992</v>
      </c>
      <c r="L30" t="s">
        <v>993</v>
      </c>
    </row>
    <row r="31" spans="1:12">
      <c r="A31">
        <v>73</v>
      </c>
      <c r="B31">
        <v>20286696</v>
      </c>
      <c r="C31" t="s">
        <v>994</v>
      </c>
      <c r="D31" t="s">
        <v>906</v>
      </c>
      <c r="E31">
        <v>32</v>
      </c>
      <c r="F31" t="s">
        <v>907</v>
      </c>
      <c r="G31">
        <v>4</v>
      </c>
      <c r="J31" t="s">
        <v>995</v>
      </c>
      <c r="L31" t="s">
        <v>996</v>
      </c>
    </row>
    <row r="32" spans="1:12">
      <c r="A32">
        <v>74</v>
      </c>
      <c r="B32">
        <v>20366022</v>
      </c>
      <c r="C32" t="s">
        <v>997</v>
      </c>
      <c r="D32" t="s">
        <v>906</v>
      </c>
      <c r="E32">
        <v>45</v>
      </c>
      <c r="F32" t="s">
        <v>907</v>
      </c>
      <c r="G32">
        <v>1.4</v>
      </c>
      <c r="H32">
        <v>18</v>
      </c>
      <c r="I32">
        <v>12</v>
      </c>
      <c r="J32" t="s">
        <v>998</v>
      </c>
      <c r="L32" t="s">
        <v>999</v>
      </c>
    </row>
    <row r="33" spans="1:12">
      <c r="A33">
        <v>79</v>
      </c>
      <c r="B33">
        <v>20379952</v>
      </c>
      <c r="C33" t="s">
        <v>1000</v>
      </c>
      <c r="D33" t="s">
        <v>906</v>
      </c>
      <c r="E33">
        <v>28</v>
      </c>
      <c r="F33" t="s">
        <v>907</v>
      </c>
      <c r="G33">
        <v>1.4</v>
      </c>
      <c r="H33">
        <v>18</v>
      </c>
      <c r="I33">
        <v>13</v>
      </c>
      <c r="J33" t="s">
        <v>1001</v>
      </c>
      <c r="L33" t="s">
        <v>1002</v>
      </c>
    </row>
    <row r="34" spans="1:12">
      <c r="A34">
        <v>80</v>
      </c>
      <c r="B34">
        <v>20324994</v>
      </c>
      <c r="C34" t="s">
        <v>1003</v>
      </c>
      <c r="D34" t="s">
        <v>906</v>
      </c>
      <c r="E34">
        <v>51</v>
      </c>
      <c r="F34" t="s">
        <v>907</v>
      </c>
      <c r="G34">
        <v>3</v>
      </c>
      <c r="H34">
        <v>27</v>
      </c>
      <c r="I34">
        <v>28</v>
      </c>
      <c r="J34" t="s">
        <v>1004</v>
      </c>
      <c r="L34" t="s">
        <v>1005</v>
      </c>
    </row>
    <row r="35" spans="1:12">
      <c r="A35">
        <v>81</v>
      </c>
      <c r="B35">
        <v>20325506</v>
      </c>
      <c r="C35" t="s">
        <v>1006</v>
      </c>
      <c r="D35" t="s">
        <v>906</v>
      </c>
      <c r="E35">
        <v>43</v>
      </c>
      <c r="F35" t="s">
        <v>907</v>
      </c>
      <c r="G35">
        <v>2.2000000000000002</v>
      </c>
      <c r="H35">
        <v>31</v>
      </c>
      <c r="I35">
        <v>51</v>
      </c>
      <c r="J35" t="s">
        <v>1007</v>
      </c>
      <c r="L35" t="s">
        <v>1008</v>
      </c>
    </row>
    <row r="36" spans="1:12">
      <c r="A36">
        <v>82</v>
      </c>
      <c r="B36">
        <v>20366043</v>
      </c>
      <c r="C36" t="s">
        <v>1009</v>
      </c>
      <c r="D36" t="s">
        <v>906</v>
      </c>
      <c r="E36">
        <v>57</v>
      </c>
      <c r="F36" t="s">
        <v>907</v>
      </c>
      <c r="G36">
        <v>2.4</v>
      </c>
      <c r="H36">
        <v>23</v>
      </c>
      <c r="I36">
        <v>20</v>
      </c>
      <c r="J36" t="s">
        <v>1010</v>
      </c>
      <c r="L36" t="s">
        <v>1011</v>
      </c>
    </row>
    <row r="37" spans="1:12">
      <c r="A37">
        <v>83</v>
      </c>
      <c r="B37">
        <v>20379731</v>
      </c>
      <c r="C37" t="s">
        <v>1012</v>
      </c>
      <c r="D37" t="s">
        <v>906</v>
      </c>
      <c r="E37">
        <v>37</v>
      </c>
      <c r="F37" t="s">
        <v>907</v>
      </c>
      <c r="G37">
        <v>3.9</v>
      </c>
      <c r="H37">
        <v>19</v>
      </c>
      <c r="I37">
        <v>16</v>
      </c>
      <c r="J37" t="s">
        <v>1013</v>
      </c>
      <c r="L37" t="s">
        <v>1014</v>
      </c>
    </row>
    <row r="38" spans="1:12">
      <c r="A38">
        <v>84</v>
      </c>
      <c r="B38">
        <v>20325655</v>
      </c>
      <c r="C38" t="s">
        <v>1015</v>
      </c>
      <c r="D38" t="s">
        <v>906</v>
      </c>
      <c r="E38">
        <v>45</v>
      </c>
      <c r="F38" t="s">
        <v>907</v>
      </c>
      <c r="G38">
        <v>3</v>
      </c>
      <c r="H38">
        <v>18</v>
      </c>
      <c r="I38">
        <v>12</v>
      </c>
      <c r="J38" t="s">
        <v>1016</v>
      </c>
      <c r="L38" t="s">
        <v>1017</v>
      </c>
    </row>
    <row r="39" spans="1:12">
      <c r="A39">
        <v>85</v>
      </c>
      <c r="B39">
        <v>20379677</v>
      </c>
      <c r="C39" t="s">
        <v>1018</v>
      </c>
      <c r="D39" t="s">
        <v>906</v>
      </c>
      <c r="E39">
        <v>29</v>
      </c>
      <c r="F39" t="s">
        <v>907</v>
      </c>
      <c r="G39">
        <v>1.3</v>
      </c>
      <c r="H39">
        <v>18</v>
      </c>
      <c r="I39">
        <v>12</v>
      </c>
      <c r="J39" t="s">
        <v>1019</v>
      </c>
      <c r="L39" t="s">
        <v>1020</v>
      </c>
    </row>
    <row r="40" spans="1:12">
      <c r="A40">
        <v>86</v>
      </c>
      <c r="B40">
        <v>20376082</v>
      </c>
      <c r="C40" t="s">
        <v>1021</v>
      </c>
      <c r="D40" t="s">
        <v>906</v>
      </c>
      <c r="E40">
        <v>30</v>
      </c>
      <c r="F40" t="s">
        <v>907</v>
      </c>
      <c r="G40">
        <v>4.3</v>
      </c>
      <c r="H40">
        <v>18</v>
      </c>
      <c r="I40">
        <v>11</v>
      </c>
      <c r="J40" t="s">
        <v>1022</v>
      </c>
      <c r="L40" t="s">
        <v>1023</v>
      </c>
    </row>
    <row r="41" spans="1:12">
      <c r="A41">
        <v>87</v>
      </c>
      <c r="B41">
        <v>20286991</v>
      </c>
      <c r="C41" t="s">
        <v>1024</v>
      </c>
      <c r="D41" t="s">
        <v>906</v>
      </c>
      <c r="E41">
        <v>38</v>
      </c>
      <c r="F41" t="s">
        <v>907</v>
      </c>
      <c r="G41">
        <v>1.6</v>
      </c>
      <c r="J41" t="s">
        <v>1025</v>
      </c>
      <c r="L41" t="s">
        <v>1026</v>
      </c>
    </row>
    <row r="42" spans="1:12">
      <c r="A42">
        <v>88</v>
      </c>
      <c r="B42">
        <v>20380195</v>
      </c>
      <c r="C42" t="s">
        <v>1027</v>
      </c>
      <c r="D42" t="s">
        <v>906</v>
      </c>
      <c r="E42">
        <v>29</v>
      </c>
      <c r="F42" t="s">
        <v>907</v>
      </c>
      <c r="H42">
        <v>31</v>
      </c>
      <c r="I42">
        <v>22</v>
      </c>
      <c r="J42" t="s">
        <v>1028</v>
      </c>
      <c r="L42" t="s">
        <v>1029</v>
      </c>
    </row>
    <row r="43" spans="1:12">
      <c r="A43">
        <v>89</v>
      </c>
      <c r="B43">
        <v>20286997</v>
      </c>
      <c r="C43" t="s">
        <v>1030</v>
      </c>
      <c r="D43" t="s">
        <v>906</v>
      </c>
      <c r="E43">
        <v>40</v>
      </c>
      <c r="F43" t="s">
        <v>907</v>
      </c>
      <c r="G43">
        <v>3</v>
      </c>
      <c r="J43" t="s">
        <v>1031</v>
      </c>
      <c r="L43" t="s">
        <v>1032</v>
      </c>
    </row>
    <row r="44" spans="1:12">
      <c r="A44">
        <v>90</v>
      </c>
      <c r="B44">
        <v>20325452</v>
      </c>
      <c r="C44" t="s">
        <v>1033</v>
      </c>
      <c r="D44" t="s">
        <v>906</v>
      </c>
      <c r="E44">
        <v>52</v>
      </c>
      <c r="F44" t="s">
        <v>907</v>
      </c>
      <c r="G44">
        <v>3.2</v>
      </c>
      <c r="H44">
        <v>17</v>
      </c>
      <c r="I44">
        <v>20</v>
      </c>
      <c r="J44" t="s">
        <v>1034</v>
      </c>
      <c r="L44" t="s">
        <v>1035</v>
      </c>
    </row>
    <row r="45" spans="1:12">
      <c r="A45">
        <v>91</v>
      </c>
      <c r="B45">
        <v>20325515</v>
      </c>
      <c r="C45" t="s">
        <v>1036</v>
      </c>
      <c r="D45" t="s">
        <v>906</v>
      </c>
      <c r="E45">
        <v>44</v>
      </c>
      <c r="F45" t="s">
        <v>907</v>
      </c>
      <c r="G45">
        <v>1.5</v>
      </c>
      <c r="H45">
        <v>26</v>
      </c>
      <c r="I45">
        <v>26</v>
      </c>
      <c r="J45" t="s">
        <v>1037</v>
      </c>
      <c r="L45" t="s">
        <v>1038</v>
      </c>
    </row>
    <row r="46" spans="1:12">
      <c r="A46">
        <v>96</v>
      </c>
      <c r="B46">
        <v>20324315</v>
      </c>
      <c r="C46" t="s">
        <v>1039</v>
      </c>
      <c r="D46" t="s">
        <v>906</v>
      </c>
      <c r="E46">
        <v>39</v>
      </c>
      <c r="F46" t="s">
        <v>907</v>
      </c>
      <c r="G46">
        <v>2.7</v>
      </c>
      <c r="H46">
        <v>21</v>
      </c>
      <c r="I46">
        <v>23</v>
      </c>
      <c r="J46" t="s">
        <v>1040</v>
      </c>
      <c r="L46" t="s">
        <v>1041</v>
      </c>
    </row>
    <row r="47" spans="1:12">
      <c r="A47">
        <v>97</v>
      </c>
      <c r="B47">
        <v>20379796</v>
      </c>
      <c r="C47" t="s">
        <v>665</v>
      </c>
      <c r="D47" t="s">
        <v>906</v>
      </c>
      <c r="E47">
        <v>39</v>
      </c>
      <c r="F47" t="s">
        <v>907</v>
      </c>
      <c r="G47">
        <v>3</v>
      </c>
      <c r="H47">
        <v>20</v>
      </c>
      <c r="I47">
        <v>28</v>
      </c>
      <c r="J47" t="s">
        <v>1042</v>
      </c>
      <c r="L47" t="s">
        <v>1043</v>
      </c>
    </row>
    <row r="48" spans="1:12">
      <c r="A48">
        <v>100</v>
      </c>
      <c r="B48">
        <v>20379939</v>
      </c>
      <c r="C48" t="s">
        <v>1044</v>
      </c>
      <c r="D48" t="s">
        <v>906</v>
      </c>
      <c r="E48">
        <v>43</v>
      </c>
      <c r="F48" t="s">
        <v>907</v>
      </c>
      <c r="G48">
        <v>3.8</v>
      </c>
      <c r="H48">
        <v>15</v>
      </c>
      <c r="I48">
        <v>13</v>
      </c>
      <c r="J48" t="s">
        <v>1045</v>
      </c>
      <c r="L48" t="s">
        <v>1046</v>
      </c>
    </row>
    <row r="49" spans="1:12">
      <c r="A49">
        <v>103</v>
      </c>
      <c r="B49">
        <v>20379911</v>
      </c>
      <c r="C49" t="s">
        <v>1047</v>
      </c>
      <c r="D49" t="s">
        <v>906</v>
      </c>
      <c r="E49">
        <v>25</v>
      </c>
      <c r="F49" t="s">
        <v>907</v>
      </c>
      <c r="G49">
        <v>1.5</v>
      </c>
      <c r="H49">
        <v>13</v>
      </c>
      <c r="I49">
        <v>8</v>
      </c>
      <c r="J49" t="s">
        <v>1048</v>
      </c>
      <c r="L49" t="s">
        <v>1049</v>
      </c>
    </row>
    <row r="50" spans="1:12">
      <c r="A50">
        <v>104</v>
      </c>
      <c r="B50">
        <v>20324289</v>
      </c>
      <c r="C50" t="s">
        <v>1050</v>
      </c>
      <c r="D50" t="s">
        <v>906</v>
      </c>
      <c r="E50">
        <v>47</v>
      </c>
      <c r="F50" t="s">
        <v>907</v>
      </c>
      <c r="G50">
        <v>2.2999999999999998</v>
      </c>
      <c r="H50">
        <v>20</v>
      </c>
      <c r="I50">
        <v>16</v>
      </c>
      <c r="J50" t="s">
        <v>1051</v>
      </c>
      <c r="L50" t="s">
        <v>1052</v>
      </c>
    </row>
    <row r="51" spans="1:12">
      <c r="A51">
        <v>105</v>
      </c>
      <c r="B51">
        <v>20325380</v>
      </c>
      <c r="C51" t="s">
        <v>1053</v>
      </c>
      <c r="D51" t="s">
        <v>906</v>
      </c>
      <c r="E51">
        <v>66</v>
      </c>
      <c r="F51" t="s">
        <v>907</v>
      </c>
      <c r="G51">
        <v>2.1</v>
      </c>
      <c r="H51">
        <v>28</v>
      </c>
      <c r="I51">
        <v>42</v>
      </c>
      <c r="J51" t="s">
        <v>1054</v>
      </c>
      <c r="L51" t="s">
        <v>1055</v>
      </c>
    </row>
    <row r="52" spans="1:12">
      <c r="A52">
        <v>107</v>
      </c>
      <c r="B52">
        <v>20279903</v>
      </c>
      <c r="C52" t="s">
        <v>1056</v>
      </c>
      <c r="D52" t="s">
        <v>906</v>
      </c>
      <c r="E52">
        <v>38</v>
      </c>
      <c r="F52" t="s">
        <v>907</v>
      </c>
      <c r="G52">
        <v>2.6</v>
      </c>
      <c r="H52">
        <v>19</v>
      </c>
      <c r="I52">
        <v>10</v>
      </c>
      <c r="J52" t="s">
        <v>1057</v>
      </c>
      <c r="L52" t="s">
        <v>1058</v>
      </c>
    </row>
    <row r="53" spans="1:12">
      <c r="A53">
        <v>108</v>
      </c>
      <c r="B53">
        <v>20379484</v>
      </c>
      <c r="C53" t="s">
        <v>1059</v>
      </c>
      <c r="D53" t="s">
        <v>906</v>
      </c>
      <c r="E53">
        <v>66</v>
      </c>
      <c r="F53" t="s">
        <v>907</v>
      </c>
      <c r="G53">
        <v>2.6</v>
      </c>
      <c r="H53">
        <v>38</v>
      </c>
      <c r="I53">
        <v>26</v>
      </c>
      <c r="J53" t="s">
        <v>1060</v>
      </c>
      <c r="L53" t="s">
        <v>1061</v>
      </c>
    </row>
    <row r="54" spans="1:12">
      <c r="A54">
        <v>109</v>
      </c>
      <c r="B54">
        <v>20365176</v>
      </c>
      <c r="C54" t="s">
        <v>1062</v>
      </c>
      <c r="D54" t="s">
        <v>906</v>
      </c>
      <c r="E54">
        <v>29</v>
      </c>
      <c r="F54" t="s">
        <v>907</v>
      </c>
      <c r="G54">
        <v>1.3</v>
      </c>
      <c r="H54">
        <v>17</v>
      </c>
      <c r="I54">
        <v>10</v>
      </c>
      <c r="J54" t="s">
        <v>1063</v>
      </c>
      <c r="L54" t="s">
        <v>1064</v>
      </c>
    </row>
    <row r="55" spans="1:12">
      <c r="A55">
        <v>110</v>
      </c>
      <c r="B55">
        <v>20366082</v>
      </c>
      <c r="C55" t="s">
        <v>1065</v>
      </c>
      <c r="D55" t="s">
        <v>906</v>
      </c>
      <c r="E55">
        <v>38</v>
      </c>
      <c r="F55" t="s">
        <v>907</v>
      </c>
      <c r="G55">
        <v>4.7</v>
      </c>
      <c r="H55">
        <v>24</v>
      </c>
      <c r="I55">
        <v>20</v>
      </c>
      <c r="J55" t="s">
        <v>1066</v>
      </c>
      <c r="L55" t="s">
        <v>1067</v>
      </c>
    </row>
    <row r="56" spans="1:12">
      <c r="A56">
        <v>111</v>
      </c>
      <c r="B56">
        <v>20282530</v>
      </c>
      <c r="C56" t="s">
        <v>1068</v>
      </c>
      <c r="D56" t="s">
        <v>906</v>
      </c>
      <c r="E56">
        <v>47</v>
      </c>
      <c r="F56" t="s">
        <v>907</v>
      </c>
      <c r="G56">
        <v>2.4</v>
      </c>
      <c r="H56">
        <v>29</v>
      </c>
      <c r="I56">
        <v>37</v>
      </c>
      <c r="J56" t="s">
        <v>1069</v>
      </c>
      <c r="L56" t="s">
        <v>1070</v>
      </c>
    </row>
    <row r="57" spans="1:12">
      <c r="A57">
        <v>112</v>
      </c>
      <c r="B57">
        <v>20360438</v>
      </c>
      <c r="C57" t="s">
        <v>1071</v>
      </c>
      <c r="D57" t="s">
        <v>906</v>
      </c>
      <c r="E57">
        <v>34</v>
      </c>
      <c r="F57" t="s">
        <v>907</v>
      </c>
      <c r="G57">
        <v>1.1000000000000001</v>
      </c>
      <c r="H57">
        <v>21</v>
      </c>
      <c r="I57">
        <v>15</v>
      </c>
      <c r="J57" t="s">
        <v>1072</v>
      </c>
      <c r="L57" t="s">
        <v>1073</v>
      </c>
    </row>
    <row r="58" spans="1:12">
      <c r="A58">
        <v>113</v>
      </c>
      <c r="B58">
        <v>20366053</v>
      </c>
      <c r="C58" t="s">
        <v>1074</v>
      </c>
      <c r="D58" t="s">
        <v>906</v>
      </c>
      <c r="E58">
        <v>48</v>
      </c>
      <c r="F58" t="s">
        <v>907</v>
      </c>
      <c r="G58">
        <v>1.4</v>
      </c>
      <c r="H58">
        <v>18</v>
      </c>
      <c r="I58">
        <v>9</v>
      </c>
      <c r="J58" t="s">
        <v>1075</v>
      </c>
      <c r="L58" t="s">
        <v>1076</v>
      </c>
    </row>
    <row r="59" spans="1:12">
      <c r="A59">
        <v>114</v>
      </c>
      <c r="B59">
        <v>20324558</v>
      </c>
      <c r="C59" t="s">
        <v>1077</v>
      </c>
      <c r="D59" t="s">
        <v>906</v>
      </c>
      <c r="E59">
        <v>42</v>
      </c>
      <c r="F59" t="s">
        <v>907</v>
      </c>
      <c r="G59">
        <v>4.3</v>
      </c>
      <c r="H59">
        <v>15</v>
      </c>
      <c r="I59">
        <v>16</v>
      </c>
      <c r="J59" t="s">
        <v>1078</v>
      </c>
      <c r="L59" t="s">
        <v>1079</v>
      </c>
    </row>
    <row r="60" spans="1:12">
      <c r="A60">
        <v>115</v>
      </c>
      <c r="B60">
        <v>20379566</v>
      </c>
      <c r="C60" t="s">
        <v>1080</v>
      </c>
      <c r="D60" t="s">
        <v>906</v>
      </c>
      <c r="E60">
        <v>57</v>
      </c>
      <c r="F60" t="s">
        <v>907</v>
      </c>
      <c r="G60">
        <v>4.7</v>
      </c>
      <c r="H60">
        <v>29</v>
      </c>
      <c r="I60">
        <v>26</v>
      </c>
      <c r="J60" t="s">
        <v>1081</v>
      </c>
      <c r="L60" t="s">
        <v>1082</v>
      </c>
    </row>
    <row r="61" spans="1:12">
      <c r="A61">
        <v>117</v>
      </c>
      <c r="B61">
        <v>20360498</v>
      </c>
      <c r="C61" t="s">
        <v>1083</v>
      </c>
      <c r="D61" t="s">
        <v>906</v>
      </c>
      <c r="E61">
        <v>39</v>
      </c>
      <c r="F61" t="s">
        <v>907</v>
      </c>
      <c r="G61">
        <v>2</v>
      </c>
      <c r="H61">
        <v>18</v>
      </c>
      <c r="I61">
        <v>18</v>
      </c>
      <c r="K61" t="s">
        <v>1084</v>
      </c>
      <c r="L61" t="s">
        <v>1085</v>
      </c>
    </row>
    <row r="62" spans="1:12">
      <c r="A62">
        <v>118</v>
      </c>
      <c r="B62">
        <v>20325590</v>
      </c>
      <c r="C62" t="s">
        <v>1086</v>
      </c>
      <c r="D62" t="s">
        <v>906</v>
      </c>
      <c r="E62">
        <v>46</v>
      </c>
      <c r="F62" t="s">
        <v>907</v>
      </c>
      <c r="G62">
        <v>4.2</v>
      </c>
      <c r="H62">
        <v>20</v>
      </c>
      <c r="I62">
        <v>12</v>
      </c>
      <c r="K62" t="s">
        <v>1087</v>
      </c>
      <c r="L62" t="s">
        <v>1088</v>
      </c>
    </row>
    <row r="63" spans="1:12">
      <c r="A63">
        <v>119</v>
      </c>
      <c r="B63">
        <v>20325724</v>
      </c>
      <c r="C63" t="s">
        <v>1089</v>
      </c>
      <c r="D63" t="s">
        <v>906</v>
      </c>
      <c r="E63">
        <v>29</v>
      </c>
      <c r="F63" t="s">
        <v>907</v>
      </c>
      <c r="G63">
        <v>2.1</v>
      </c>
      <c r="H63">
        <v>22</v>
      </c>
      <c r="I63">
        <v>13</v>
      </c>
      <c r="K63" t="s">
        <v>1090</v>
      </c>
      <c r="L63" t="s">
        <v>1091</v>
      </c>
    </row>
    <row r="64" spans="1:12">
      <c r="A64">
        <v>120</v>
      </c>
      <c r="B64">
        <v>20379577</v>
      </c>
      <c r="C64" t="s">
        <v>1092</v>
      </c>
      <c r="D64" t="s">
        <v>906</v>
      </c>
      <c r="E64">
        <v>46</v>
      </c>
      <c r="F64" t="s">
        <v>907</v>
      </c>
      <c r="G64">
        <v>3.7</v>
      </c>
      <c r="H64">
        <v>20</v>
      </c>
      <c r="I64">
        <v>13</v>
      </c>
      <c r="K64" t="s">
        <v>1093</v>
      </c>
      <c r="L64" t="s">
        <v>1094</v>
      </c>
    </row>
    <row r="65" spans="1:12">
      <c r="A65">
        <v>154</v>
      </c>
      <c r="B65">
        <v>20400590</v>
      </c>
      <c r="C65" t="s">
        <v>1095</v>
      </c>
      <c r="D65" t="s">
        <v>906</v>
      </c>
      <c r="E65">
        <v>27</v>
      </c>
      <c r="F65" t="s">
        <v>907</v>
      </c>
      <c r="H65">
        <v>22</v>
      </c>
      <c r="I65">
        <v>12</v>
      </c>
      <c r="K65" t="s">
        <v>1096</v>
      </c>
      <c r="L65" t="s">
        <v>1097</v>
      </c>
    </row>
    <row r="66" spans="1:12">
      <c r="A66">
        <v>157</v>
      </c>
      <c r="B66">
        <v>20400573</v>
      </c>
      <c r="C66" t="s">
        <v>1098</v>
      </c>
      <c r="D66" t="s">
        <v>906</v>
      </c>
      <c r="E66">
        <v>22</v>
      </c>
      <c r="F66" t="s">
        <v>907</v>
      </c>
      <c r="H66">
        <v>23</v>
      </c>
      <c r="I66">
        <v>28</v>
      </c>
      <c r="K66" t="s">
        <v>1099</v>
      </c>
      <c r="L66" t="s">
        <v>1100</v>
      </c>
    </row>
    <row r="67" spans="1:12">
      <c r="A67">
        <v>183</v>
      </c>
      <c r="B67">
        <v>20541372</v>
      </c>
      <c r="C67" t="s">
        <v>1101</v>
      </c>
      <c r="D67" t="s">
        <v>906</v>
      </c>
      <c r="E67">
        <v>45</v>
      </c>
      <c r="F67" t="s">
        <v>907</v>
      </c>
      <c r="G67">
        <v>1.9</v>
      </c>
      <c r="H67">
        <v>21</v>
      </c>
      <c r="I67">
        <v>19</v>
      </c>
      <c r="K67" t="s">
        <v>1102</v>
      </c>
      <c r="L67" t="s">
        <v>1103</v>
      </c>
    </row>
    <row r="68" spans="1:12">
      <c r="A68">
        <v>185</v>
      </c>
      <c r="B68">
        <v>20624759</v>
      </c>
      <c r="C68" t="s">
        <v>1104</v>
      </c>
      <c r="D68" t="s">
        <v>906</v>
      </c>
      <c r="E68">
        <v>48</v>
      </c>
      <c r="F68" t="s">
        <v>907</v>
      </c>
      <c r="G68">
        <v>3</v>
      </c>
      <c r="H68">
        <v>16</v>
      </c>
      <c r="I68">
        <v>16</v>
      </c>
      <c r="K68" t="s">
        <v>1105</v>
      </c>
      <c r="L68" t="s">
        <v>1106</v>
      </c>
    </row>
    <row r="69" spans="1:12">
      <c r="A69">
        <v>186</v>
      </c>
      <c r="B69">
        <v>20541397</v>
      </c>
      <c r="C69" t="s">
        <v>1107</v>
      </c>
      <c r="D69" t="s">
        <v>906</v>
      </c>
      <c r="E69">
        <v>45</v>
      </c>
      <c r="F69" t="s">
        <v>907</v>
      </c>
      <c r="G69">
        <v>1.8</v>
      </c>
      <c r="H69">
        <v>21</v>
      </c>
      <c r="I69">
        <v>9</v>
      </c>
      <c r="K69" t="s">
        <v>1108</v>
      </c>
      <c r="L69" t="s">
        <v>1109</v>
      </c>
    </row>
    <row r="70" spans="1:12">
      <c r="A70">
        <v>197</v>
      </c>
      <c r="B70">
        <v>20604666</v>
      </c>
      <c r="C70" t="s">
        <v>1110</v>
      </c>
      <c r="D70" t="s">
        <v>906</v>
      </c>
      <c r="E70">
        <v>46</v>
      </c>
      <c r="F70" t="s">
        <v>907</v>
      </c>
      <c r="G70">
        <v>3</v>
      </c>
      <c r="H70">
        <v>24</v>
      </c>
      <c r="I70">
        <v>25</v>
      </c>
      <c r="K70" t="s">
        <v>1111</v>
      </c>
      <c r="L70" t="s">
        <v>1112</v>
      </c>
    </row>
    <row r="71" spans="1:12">
      <c r="A71">
        <v>165</v>
      </c>
      <c r="B71">
        <v>20405812</v>
      </c>
      <c r="C71" t="s">
        <v>1113</v>
      </c>
      <c r="D71" t="s">
        <v>906</v>
      </c>
      <c r="E71">
        <v>27</v>
      </c>
      <c r="F71" t="s">
        <v>907</v>
      </c>
      <c r="H71">
        <v>9</v>
      </c>
      <c r="K71" t="s">
        <v>1114</v>
      </c>
      <c r="L71" t="s">
        <v>1115</v>
      </c>
    </row>
  </sheetData>
  <phoneticPr fontId="12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15"/>
  <sheetViews>
    <sheetView topLeftCell="A164" workbookViewId="0">
      <selection activeCell="J183" sqref="J183"/>
    </sheetView>
  </sheetViews>
  <sheetFormatPr defaultColWidth="8.875" defaultRowHeight="14.25"/>
  <sheetData>
    <row r="1" spans="1:12">
      <c r="A1" t="s">
        <v>1775</v>
      </c>
      <c r="B1" t="s">
        <v>1116</v>
      </c>
      <c r="C1" t="s">
        <v>6</v>
      </c>
      <c r="D1" t="s">
        <v>3</v>
      </c>
      <c r="E1" t="s">
        <v>1776</v>
      </c>
      <c r="H1" t="s">
        <v>1775</v>
      </c>
      <c r="I1" t="s">
        <v>1116</v>
      </c>
      <c r="J1" t="s">
        <v>6</v>
      </c>
      <c r="K1" t="s">
        <v>3</v>
      </c>
      <c r="L1" t="s">
        <v>1776</v>
      </c>
    </row>
    <row r="2" spans="1:12">
      <c r="A2" t="s">
        <v>11</v>
      </c>
      <c r="B2">
        <v>64</v>
      </c>
      <c r="C2" t="s">
        <v>479</v>
      </c>
      <c r="D2" t="s">
        <v>9</v>
      </c>
      <c r="E2" t="e">
        <f>VLOOKUP(A2,[1]batch_mesign!$J$1:$L$315,2,0)</f>
        <v>#N/A</v>
      </c>
      <c r="H2" t="s">
        <v>856</v>
      </c>
      <c r="I2">
        <v>24</v>
      </c>
      <c r="J2" t="s">
        <v>1118</v>
      </c>
      <c r="K2" t="s">
        <v>855</v>
      </c>
      <c r="L2" t="s">
        <v>1119</v>
      </c>
    </row>
    <row r="3" spans="1:12">
      <c r="A3" t="s">
        <v>16</v>
      </c>
      <c r="B3">
        <v>71</v>
      </c>
      <c r="C3" t="s">
        <v>479</v>
      </c>
      <c r="D3" t="s">
        <v>14</v>
      </c>
      <c r="E3">
        <f>VLOOKUP(A3,batch_design!$J$1:$L$315,2,0)</f>
        <v>71</v>
      </c>
      <c r="H3" t="s">
        <v>434</v>
      </c>
      <c r="I3">
        <v>60</v>
      </c>
      <c r="J3" t="s">
        <v>479</v>
      </c>
      <c r="K3" t="s">
        <v>433</v>
      </c>
      <c r="L3" t="s">
        <v>1120</v>
      </c>
    </row>
    <row r="4" spans="1:12">
      <c r="A4" t="s">
        <v>21</v>
      </c>
      <c r="B4">
        <v>56</v>
      </c>
      <c r="C4" t="s">
        <v>479</v>
      </c>
      <c r="D4" t="s">
        <v>19</v>
      </c>
      <c r="E4">
        <f>VLOOKUP(A4,batch_design!$J$1:$L$315,2,0)</f>
        <v>56</v>
      </c>
      <c r="H4" t="s">
        <v>415</v>
      </c>
      <c r="I4">
        <v>71</v>
      </c>
      <c r="J4" t="s">
        <v>479</v>
      </c>
      <c r="K4" t="s">
        <v>414</v>
      </c>
      <c r="L4" t="s">
        <v>1121</v>
      </c>
    </row>
    <row r="5" spans="1:12">
      <c r="A5" t="s">
        <v>25</v>
      </c>
      <c r="B5">
        <v>49</v>
      </c>
      <c r="C5" t="s">
        <v>479</v>
      </c>
      <c r="D5" t="s">
        <v>23</v>
      </c>
      <c r="E5">
        <f>VLOOKUP(A5,batch_design!$J$1:$L$315,2,0)</f>
        <v>49</v>
      </c>
      <c r="H5" t="s">
        <v>56</v>
      </c>
      <c r="I5">
        <v>50</v>
      </c>
      <c r="J5" t="s">
        <v>479</v>
      </c>
      <c r="K5" t="s">
        <v>54</v>
      </c>
      <c r="L5" t="s">
        <v>1122</v>
      </c>
    </row>
    <row r="6" spans="1:12">
      <c r="A6" t="s">
        <v>30</v>
      </c>
      <c r="B6">
        <v>18</v>
      </c>
      <c r="C6" t="s">
        <v>491</v>
      </c>
      <c r="D6" t="s">
        <v>28</v>
      </c>
      <c r="E6" t="e">
        <f>VLOOKUP(A6,batch_design!$J$1:$L$315,2,0)</f>
        <v>#N/A</v>
      </c>
      <c r="H6" t="s">
        <v>683</v>
      </c>
      <c r="I6">
        <v>36</v>
      </c>
      <c r="J6" t="s">
        <v>1118</v>
      </c>
      <c r="K6" t="s">
        <v>682</v>
      </c>
      <c r="L6" t="s">
        <v>1123</v>
      </c>
    </row>
    <row r="7" spans="1:12">
      <c r="A7" t="s">
        <v>34</v>
      </c>
      <c r="B7">
        <v>48</v>
      </c>
      <c r="C7" t="s">
        <v>1771</v>
      </c>
      <c r="D7" t="s">
        <v>33</v>
      </c>
      <c r="E7">
        <f>VLOOKUP(A7,batch_design!$J$1:$L$315,2,0)</f>
        <v>48</v>
      </c>
      <c r="H7" t="s">
        <v>823</v>
      </c>
      <c r="I7">
        <v>26</v>
      </c>
      <c r="J7" t="s">
        <v>1118</v>
      </c>
      <c r="K7" t="s">
        <v>822</v>
      </c>
      <c r="L7" t="s">
        <v>1124</v>
      </c>
    </row>
    <row r="8" spans="1:12">
      <c r="A8" t="s">
        <v>37</v>
      </c>
      <c r="B8">
        <v>66</v>
      </c>
      <c r="C8" t="s">
        <v>479</v>
      </c>
      <c r="D8" t="s">
        <v>36</v>
      </c>
      <c r="E8">
        <f>VLOOKUP(A8,batch_design!$J$1:$L$315,2,0)</f>
        <v>66</v>
      </c>
      <c r="H8" t="s">
        <v>259</v>
      </c>
      <c r="I8">
        <v>41</v>
      </c>
      <c r="J8" t="s">
        <v>1771</v>
      </c>
      <c r="K8" t="s">
        <v>258</v>
      </c>
      <c r="L8" t="s">
        <v>1125</v>
      </c>
    </row>
    <row r="9" spans="1:12">
      <c r="A9" t="s">
        <v>41</v>
      </c>
      <c r="B9">
        <v>56</v>
      </c>
      <c r="C9" t="s">
        <v>479</v>
      </c>
      <c r="D9" t="s">
        <v>39</v>
      </c>
      <c r="E9">
        <f>VLOOKUP(A9,batch_design!$J$1:$L$315,2,0)</f>
        <v>56</v>
      </c>
      <c r="H9" t="s">
        <v>323</v>
      </c>
      <c r="I9">
        <v>51</v>
      </c>
      <c r="J9" t="s">
        <v>481</v>
      </c>
      <c r="K9" t="s">
        <v>322</v>
      </c>
      <c r="L9" t="s">
        <v>1126</v>
      </c>
    </row>
    <row r="10" spans="1:12">
      <c r="A10" t="s">
        <v>46</v>
      </c>
      <c r="B10">
        <v>53</v>
      </c>
      <c r="C10" t="s">
        <v>489</v>
      </c>
      <c r="D10" t="s">
        <v>44</v>
      </c>
      <c r="E10">
        <f>VLOOKUP(A10,batch_design!$J$1:$L$315,2,0)</f>
        <v>53</v>
      </c>
      <c r="H10" t="s">
        <v>586</v>
      </c>
      <c r="I10">
        <v>45</v>
      </c>
      <c r="J10" t="s">
        <v>1118</v>
      </c>
      <c r="K10" t="s">
        <v>532</v>
      </c>
      <c r="L10" t="s">
        <v>1127</v>
      </c>
    </row>
    <row r="11" spans="1:12">
      <c r="A11" t="s">
        <v>51</v>
      </c>
      <c r="B11">
        <v>50</v>
      </c>
      <c r="C11" t="s">
        <v>479</v>
      </c>
      <c r="D11" t="s">
        <v>49</v>
      </c>
      <c r="E11">
        <f>VLOOKUP(A11,batch_design!$J$1:$L$315,2,0)</f>
        <v>50</v>
      </c>
      <c r="H11" t="s">
        <v>710</v>
      </c>
      <c r="I11">
        <v>47</v>
      </c>
      <c r="J11" t="s">
        <v>1118</v>
      </c>
      <c r="K11" t="s">
        <v>709</v>
      </c>
      <c r="L11" t="s">
        <v>1128</v>
      </c>
    </row>
    <row r="12" spans="1:12">
      <c r="A12" t="s">
        <v>56</v>
      </c>
      <c r="B12">
        <v>50</v>
      </c>
      <c r="C12" t="s">
        <v>479</v>
      </c>
      <c r="D12" t="s">
        <v>54</v>
      </c>
      <c r="E12">
        <f>VLOOKUP(A12,batch_design!$J$1:$L$315,2,0)</f>
        <v>50</v>
      </c>
      <c r="H12" t="s">
        <v>1082</v>
      </c>
      <c r="I12">
        <v>57</v>
      </c>
      <c r="J12" t="s">
        <v>1129</v>
      </c>
      <c r="K12" t="s">
        <v>1081</v>
      </c>
      <c r="L12" t="s">
        <v>1130</v>
      </c>
    </row>
    <row r="13" spans="1:12">
      <c r="A13" t="s">
        <v>61</v>
      </c>
      <c r="B13">
        <v>61</v>
      </c>
      <c r="C13" t="s">
        <v>479</v>
      </c>
      <c r="D13" t="s">
        <v>59</v>
      </c>
      <c r="E13">
        <f>VLOOKUP(A13,batch_design!$J$1:$L$315,2,0)</f>
        <v>61</v>
      </c>
      <c r="H13" t="s">
        <v>695</v>
      </c>
      <c r="I13">
        <v>23</v>
      </c>
      <c r="J13" t="s">
        <v>1118</v>
      </c>
      <c r="K13" t="s">
        <v>694</v>
      </c>
      <c r="L13" t="s">
        <v>1131</v>
      </c>
    </row>
    <row r="14" spans="1:12">
      <c r="A14" t="s">
        <v>66</v>
      </c>
      <c r="B14">
        <v>45</v>
      </c>
      <c r="C14" t="s">
        <v>479</v>
      </c>
      <c r="D14" t="s">
        <v>64</v>
      </c>
      <c r="E14">
        <f>VLOOKUP(A14,batch_design!$J$1:$L$315,2,0)</f>
        <v>45</v>
      </c>
      <c r="H14" t="s">
        <v>1094</v>
      </c>
      <c r="I14">
        <v>46</v>
      </c>
      <c r="J14" t="s">
        <v>1129</v>
      </c>
      <c r="K14" t="s">
        <v>1093</v>
      </c>
      <c r="L14" t="s">
        <v>1132</v>
      </c>
    </row>
    <row r="15" spans="1:12">
      <c r="A15" t="s">
        <v>71</v>
      </c>
      <c r="B15">
        <v>50</v>
      </c>
      <c r="C15" t="s">
        <v>1771</v>
      </c>
      <c r="D15" t="s">
        <v>69</v>
      </c>
      <c r="E15">
        <f>VLOOKUP(A15,batch_design!$J$1:$L$315,2,0)</f>
        <v>50</v>
      </c>
      <c r="H15" t="s">
        <v>872</v>
      </c>
      <c r="I15">
        <v>30</v>
      </c>
      <c r="J15" t="s">
        <v>1118</v>
      </c>
      <c r="K15" t="s">
        <v>871</v>
      </c>
      <c r="L15" t="s">
        <v>1133</v>
      </c>
    </row>
    <row r="16" spans="1:12">
      <c r="A16" t="s">
        <v>76</v>
      </c>
      <c r="B16">
        <v>47</v>
      </c>
      <c r="C16" t="s">
        <v>479</v>
      </c>
      <c r="D16" t="s">
        <v>74</v>
      </c>
      <c r="E16">
        <f>VLOOKUP(A16,batch_design!$J$1:$L$315,2,0)</f>
        <v>47</v>
      </c>
      <c r="H16" t="s">
        <v>909</v>
      </c>
      <c r="I16">
        <v>43</v>
      </c>
      <c r="J16" t="s">
        <v>1129</v>
      </c>
      <c r="K16" t="s">
        <v>908</v>
      </c>
      <c r="L16" t="s">
        <v>1134</v>
      </c>
    </row>
    <row r="17" spans="1:12">
      <c r="A17" t="s">
        <v>81</v>
      </c>
      <c r="B17">
        <v>41</v>
      </c>
      <c r="C17" s="20" t="s">
        <v>1777</v>
      </c>
      <c r="D17" t="s">
        <v>79</v>
      </c>
      <c r="E17" t="e">
        <f>VLOOKUP(A17,batch_design!$J$1:$L$315,2,0)</f>
        <v>#N/A</v>
      </c>
      <c r="H17" t="s">
        <v>505</v>
      </c>
      <c r="I17">
        <v>57</v>
      </c>
      <c r="J17" t="s">
        <v>1118</v>
      </c>
      <c r="K17" t="s">
        <v>504</v>
      </c>
      <c r="L17" t="s">
        <v>1135</v>
      </c>
    </row>
    <row r="18" spans="1:12">
      <c r="A18" t="s">
        <v>86</v>
      </c>
      <c r="B18">
        <v>66</v>
      </c>
      <c r="C18" t="s">
        <v>479</v>
      </c>
      <c r="D18" t="s">
        <v>84</v>
      </c>
      <c r="E18">
        <f>VLOOKUP(A18,batch_design!$J$1:$L$315,2,0)</f>
        <v>66</v>
      </c>
      <c r="H18" t="s">
        <v>948</v>
      </c>
      <c r="I18">
        <v>33</v>
      </c>
      <c r="J18" t="s">
        <v>1129</v>
      </c>
      <c r="K18" t="s">
        <v>947</v>
      </c>
      <c r="L18" t="s">
        <v>1136</v>
      </c>
    </row>
    <row r="19" spans="1:12">
      <c r="A19" t="s">
        <v>91</v>
      </c>
      <c r="B19">
        <v>63</v>
      </c>
      <c r="C19" t="s">
        <v>479</v>
      </c>
      <c r="D19" t="s">
        <v>89</v>
      </c>
      <c r="E19">
        <f>VLOOKUP(A19,batch_design!$J$1:$L$315,2,0)</f>
        <v>63</v>
      </c>
      <c r="H19" t="s">
        <v>805</v>
      </c>
      <c r="I19">
        <v>27</v>
      </c>
      <c r="J19" t="s">
        <v>1118</v>
      </c>
      <c r="K19" t="s">
        <v>804</v>
      </c>
      <c r="L19" t="s">
        <v>1137</v>
      </c>
    </row>
    <row r="20" spans="1:12">
      <c r="A20" t="s">
        <v>96</v>
      </c>
      <c r="B20">
        <v>42</v>
      </c>
      <c r="C20" t="s">
        <v>479</v>
      </c>
      <c r="D20" t="s">
        <v>94</v>
      </c>
      <c r="E20">
        <f>VLOOKUP(A20,batch_design!$J$1:$L$315,2,0)</f>
        <v>42</v>
      </c>
      <c r="H20" t="s">
        <v>670</v>
      </c>
      <c r="I20">
        <v>46</v>
      </c>
      <c r="J20" t="s">
        <v>1118</v>
      </c>
      <c r="K20" t="s">
        <v>669</v>
      </c>
      <c r="L20" t="s">
        <v>1138</v>
      </c>
    </row>
    <row r="21" spans="1:12">
      <c r="A21" t="s">
        <v>101</v>
      </c>
      <c r="B21">
        <v>55</v>
      </c>
      <c r="C21" t="s">
        <v>479</v>
      </c>
      <c r="D21" t="s">
        <v>99</v>
      </c>
      <c r="E21">
        <f>VLOOKUP(A21,batch_design!$J$1:$L$315,2,0)</f>
        <v>55</v>
      </c>
      <c r="H21" t="s">
        <v>975</v>
      </c>
      <c r="I21">
        <v>22</v>
      </c>
      <c r="J21" t="s">
        <v>1129</v>
      </c>
      <c r="K21" t="s">
        <v>974</v>
      </c>
      <c r="L21" t="s">
        <v>1139</v>
      </c>
    </row>
    <row r="22" spans="1:12">
      <c r="A22" t="s">
        <v>106</v>
      </c>
      <c r="B22">
        <v>67</v>
      </c>
      <c r="C22" t="s">
        <v>479</v>
      </c>
      <c r="D22" t="s">
        <v>104</v>
      </c>
      <c r="E22">
        <f>VLOOKUP(A22,batch_design!$J$1:$L$315,2,0)</f>
        <v>67</v>
      </c>
      <c r="H22" t="s">
        <v>1112</v>
      </c>
      <c r="I22">
        <v>46</v>
      </c>
      <c r="J22" t="s">
        <v>1129</v>
      </c>
      <c r="K22" t="s">
        <v>1111</v>
      </c>
      <c r="L22" t="s">
        <v>1140</v>
      </c>
    </row>
    <row r="23" spans="1:12">
      <c r="A23" t="s">
        <v>111</v>
      </c>
      <c r="B23">
        <v>51</v>
      </c>
      <c r="C23" t="s">
        <v>479</v>
      </c>
      <c r="D23" t="s">
        <v>109</v>
      </c>
      <c r="E23">
        <f>VLOOKUP(A23,batch_design!$J$1:$L$315,2,0)</f>
        <v>51</v>
      </c>
      <c r="H23" t="s">
        <v>235</v>
      </c>
      <c r="I23">
        <v>40</v>
      </c>
      <c r="J23" t="s">
        <v>497</v>
      </c>
      <c r="K23" t="s">
        <v>234</v>
      </c>
      <c r="L23" t="s">
        <v>1141</v>
      </c>
    </row>
    <row r="24" spans="1:12">
      <c r="A24" t="s">
        <v>115</v>
      </c>
      <c r="B24">
        <v>42</v>
      </c>
      <c r="C24" t="s">
        <v>479</v>
      </c>
      <c r="D24" t="s">
        <v>114</v>
      </c>
      <c r="E24">
        <f>VLOOKUP(A24,batch_design!$J$1:$L$315,2,0)</f>
        <v>42</v>
      </c>
      <c r="H24" t="s">
        <v>526</v>
      </c>
      <c r="I24">
        <v>63</v>
      </c>
      <c r="J24" t="s">
        <v>1118</v>
      </c>
      <c r="K24" t="s">
        <v>525</v>
      </c>
      <c r="L24" t="s">
        <v>1142</v>
      </c>
    </row>
    <row r="25" spans="1:12">
      <c r="A25" t="s">
        <v>119</v>
      </c>
      <c r="B25">
        <v>69</v>
      </c>
      <c r="C25" t="s">
        <v>479</v>
      </c>
      <c r="D25" t="s">
        <v>118</v>
      </c>
      <c r="E25">
        <f>VLOOKUP(A25,batch_design!$J$1:$L$315,2,0)</f>
        <v>69</v>
      </c>
      <c r="H25" t="s">
        <v>215</v>
      </c>
      <c r="I25">
        <v>68</v>
      </c>
      <c r="J25" t="s">
        <v>479</v>
      </c>
      <c r="K25" t="s">
        <v>214</v>
      </c>
      <c r="L25" t="s">
        <v>1143</v>
      </c>
    </row>
    <row r="26" spans="1:12">
      <c r="A26" t="s">
        <v>123</v>
      </c>
      <c r="B26">
        <v>48</v>
      </c>
      <c r="C26" t="s">
        <v>479</v>
      </c>
      <c r="D26" t="s">
        <v>122</v>
      </c>
      <c r="E26">
        <f>VLOOKUP(A26,batch_design!$J$1:$L$315,2,0)</f>
        <v>48</v>
      </c>
      <c r="H26" t="s">
        <v>1032</v>
      </c>
      <c r="I26">
        <v>40</v>
      </c>
      <c r="J26" t="s">
        <v>1129</v>
      </c>
      <c r="K26" t="s">
        <v>1031</v>
      </c>
      <c r="L26" t="s">
        <v>1144</v>
      </c>
    </row>
    <row r="27" spans="1:12">
      <c r="A27" t="s">
        <v>127</v>
      </c>
      <c r="B27">
        <v>40</v>
      </c>
      <c r="C27" t="s">
        <v>497</v>
      </c>
      <c r="D27" t="s">
        <v>126</v>
      </c>
      <c r="E27">
        <f>VLOOKUP(A27,batch_design!$J$1:$L$315,2,0)</f>
        <v>40</v>
      </c>
      <c r="H27" t="s">
        <v>817</v>
      </c>
      <c r="I27">
        <v>34</v>
      </c>
      <c r="J27" t="s">
        <v>1118</v>
      </c>
      <c r="K27" t="s">
        <v>816</v>
      </c>
      <c r="L27" t="s">
        <v>1145</v>
      </c>
    </row>
    <row r="28" spans="1:12">
      <c r="A28" t="s">
        <v>131</v>
      </c>
      <c r="B28">
        <v>63</v>
      </c>
      <c r="C28" t="s">
        <v>481</v>
      </c>
      <c r="D28" t="s">
        <v>130</v>
      </c>
      <c r="E28">
        <f>VLOOKUP(A28,batch_design!$J$1:$L$315,2,0)</f>
        <v>63</v>
      </c>
      <c r="H28" t="s">
        <v>199</v>
      </c>
      <c r="I28">
        <v>65</v>
      </c>
      <c r="J28" t="s">
        <v>479</v>
      </c>
      <c r="K28" t="s">
        <v>198</v>
      </c>
      <c r="L28" t="s">
        <v>1146</v>
      </c>
    </row>
    <row r="29" spans="1:12">
      <c r="A29" t="s">
        <v>135</v>
      </c>
      <c r="B29">
        <v>14</v>
      </c>
      <c r="C29" t="s">
        <v>483</v>
      </c>
      <c r="D29" t="s">
        <v>134</v>
      </c>
      <c r="E29">
        <f>VLOOKUP(A29,batch_design!$J$1:$L$315,2,0)</f>
        <v>14</v>
      </c>
      <c r="H29" t="s">
        <v>66</v>
      </c>
      <c r="I29">
        <v>45</v>
      </c>
      <c r="J29" t="s">
        <v>479</v>
      </c>
      <c r="K29" t="s">
        <v>64</v>
      </c>
      <c r="L29" t="s">
        <v>1147</v>
      </c>
    </row>
    <row r="30" spans="1:12">
      <c r="A30" t="s">
        <v>139</v>
      </c>
      <c r="B30">
        <v>67</v>
      </c>
      <c r="C30" s="20" t="s">
        <v>1774</v>
      </c>
      <c r="D30" t="s">
        <v>138</v>
      </c>
      <c r="E30">
        <f>VLOOKUP(A30,batch_design!$J$1:$L$315,2,0)</f>
        <v>67</v>
      </c>
      <c r="H30" t="s">
        <v>1055</v>
      </c>
      <c r="I30">
        <v>66</v>
      </c>
      <c r="J30" t="s">
        <v>1129</v>
      </c>
      <c r="K30" t="s">
        <v>1054</v>
      </c>
      <c r="L30" t="s">
        <v>1148</v>
      </c>
    </row>
    <row r="31" spans="1:12">
      <c r="A31" t="s">
        <v>143</v>
      </c>
      <c r="B31">
        <v>60</v>
      </c>
      <c r="C31" t="s">
        <v>479</v>
      </c>
      <c r="D31" t="s">
        <v>142</v>
      </c>
      <c r="E31">
        <f>VLOOKUP(A31,batch_design!$J$1:$L$315,2,0)</f>
        <v>60</v>
      </c>
      <c r="H31" t="s">
        <v>607</v>
      </c>
      <c r="I31">
        <v>28</v>
      </c>
      <c r="J31" t="s">
        <v>1118</v>
      </c>
      <c r="K31" t="s">
        <v>606</v>
      </c>
      <c r="L31" t="s">
        <v>1149</v>
      </c>
    </row>
    <row r="32" spans="1:12">
      <c r="A32" t="s">
        <v>147</v>
      </c>
      <c r="B32">
        <v>40</v>
      </c>
      <c r="C32" s="20" t="s">
        <v>1777</v>
      </c>
      <c r="D32" t="s">
        <v>146</v>
      </c>
      <c r="E32">
        <f>VLOOKUP(A32,batch_design!$J$1:$L$315,2,0)</f>
        <v>40</v>
      </c>
      <c r="H32" t="s">
        <v>454</v>
      </c>
      <c r="I32">
        <v>75</v>
      </c>
      <c r="J32" t="s">
        <v>481</v>
      </c>
      <c r="K32" t="s">
        <v>453</v>
      </c>
      <c r="L32" t="s">
        <v>1150</v>
      </c>
    </row>
    <row r="33" spans="1:12">
      <c r="A33" t="s">
        <v>151</v>
      </c>
      <c r="B33">
        <v>25</v>
      </c>
      <c r="C33" s="20" t="s">
        <v>1774</v>
      </c>
      <c r="D33" t="s">
        <v>150</v>
      </c>
      <c r="E33">
        <f>VLOOKUP(A33,batch_design!$J$1:$L$315,2,0)</f>
        <v>25</v>
      </c>
      <c r="H33" t="s">
        <v>814</v>
      </c>
      <c r="I33">
        <v>32</v>
      </c>
      <c r="J33" t="s">
        <v>1118</v>
      </c>
      <c r="K33" t="s">
        <v>813</v>
      </c>
      <c r="L33" t="s">
        <v>1151</v>
      </c>
    </row>
    <row r="34" spans="1:12">
      <c r="A34" t="s">
        <v>155</v>
      </c>
      <c r="B34">
        <v>28</v>
      </c>
      <c r="C34" t="s">
        <v>1771</v>
      </c>
      <c r="D34" t="s">
        <v>154</v>
      </c>
      <c r="E34">
        <f>VLOOKUP(A34,batch_design!$J$1:$L$315,2,0)</f>
        <v>28</v>
      </c>
      <c r="H34" t="s">
        <v>542</v>
      </c>
      <c r="I34">
        <v>27</v>
      </c>
      <c r="J34" t="s">
        <v>1118</v>
      </c>
      <c r="K34" t="s">
        <v>541</v>
      </c>
      <c r="L34" t="s">
        <v>1152</v>
      </c>
    </row>
    <row r="35" spans="1:12">
      <c r="A35" t="s">
        <v>159</v>
      </c>
      <c r="B35">
        <v>25</v>
      </c>
      <c r="C35" t="s">
        <v>495</v>
      </c>
      <c r="D35" t="s">
        <v>158</v>
      </c>
      <c r="E35">
        <f>VLOOKUP(A35,batch_design!$J$1:$L$315,2,0)</f>
        <v>25</v>
      </c>
      <c r="H35" t="s">
        <v>307</v>
      </c>
      <c r="I35">
        <v>50</v>
      </c>
      <c r="J35" t="s">
        <v>479</v>
      </c>
      <c r="K35" t="s">
        <v>306</v>
      </c>
      <c r="L35" t="s">
        <v>1153</v>
      </c>
    </row>
    <row r="36" spans="1:12">
      <c r="A36" t="s">
        <v>163</v>
      </c>
      <c r="B36">
        <v>44</v>
      </c>
      <c r="C36" t="s">
        <v>479</v>
      </c>
      <c r="D36" t="s">
        <v>162</v>
      </c>
      <c r="E36">
        <f>VLOOKUP(A36,batch_design!$J$1:$L$315,2,0)</f>
        <v>44</v>
      </c>
      <c r="H36" t="s">
        <v>536</v>
      </c>
      <c r="I36">
        <v>33</v>
      </c>
      <c r="J36" t="s">
        <v>1118</v>
      </c>
      <c r="K36" t="s">
        <v>535</v>
      </c>
      <c r="L36" t="s">
        <v>1154</v>
      </c>
    </row>
    <row r="37" spans="1:12">
      <c r="A37" t="s">
        <v>167</v>
      </c>
      <c r="B37">
        <v>26</v>
      </c>
      <c r="C37" t="s">
        <v>497</v>
      </c>
      <c r="D37" t="s">
        <v>166</v>
      </c>
      <c r="E37">
        <f>VLOOKUP(A37,batch_design!$J$1:$L$315,2,0)</f>
        <v>26</v>
      </c>
      <c r="H37" t="s">
        <v>777</v>
      </c>
      <c r="I37">
        <v>37</v>
      </c>
      <c r="J37" t="s">
        <v>1118</v>
      </c>
      <c r="K37" t="s">
        <v>776</v>
      </c>
      <c r="L37" t="s">
        <v>1155</v>
      </c>
    </row>
    <row r="38" spans="1:12">
      <c r="A38" t="s">
        <v>171</v>
      </c>
      <c r="B38">
        <v>64</v>
      </c>
      <c r="C38" t="s">
        <v>489</v>
      </c>
      <c r="D38" t="s">
        <v>170</v>
      </c>
      <c r="E38">
        <f>VLOOKUP(A38,batch_design!$J$1:$L$315,2,0)</f>
        <v>64</v>
      </c>
      <c r="H38" t="s">
        <v>303</v>
      </c>
      <c r="I38">
        <v>31</v>
      </c>
      <c r="J38" t="s">
        <v>483</v>
      </c>
      <c r="K38" t="s">
        <v>302</v>
      </c>
      <c r="L38" t="s">
        <v>1156</v>
      </c>
    </row>
    <row r="39" spans="1:12">
      <c r="A39" t="s">
        <v>175</v>
      </c>
      <c r="B39">
        <v>51</v>
      </c>
      <c r="C39" t="s">
        <v>479</v>
      </c>
      <c r="D39" t="s">
        <v>174</v>
      </c>
      <c r="E39">
        <f>VLOOKUP(A39,batch_design!$J$1:$L$315,2,0)</f>
        <v>51</v>
      </c>
      <c r="H39" t="s">
        <v>111</v>
      </c>
      <c r="I39">
        <v>51</v>
      </c>
      <c r="J39" t="s">
        <v>479</v>
      </c>
      <c r="K39" t="s">
        <v>109</v>
      </c>
      <c r="L39" t="s">
        <v>1157</v>
      </c>
    </row>
    <row r="40" spans="1:12">
      <c r="A40" t="s">
        <v>179</v>
      </c>
      <c r="B40">
        <v>63</v>
      </c>
      <c r="C40" t="s">
        <v>493</v>
      </c>
      <c r="D40" t="s">
        <v>178</v>
      </c>
      <c r="E40">
        <f>VLOOKUP(A40,batch_design!$J$1:$L$315,2,0)</f>
        <v>63</v>
      </c>
      <c r="H40" t="s">
        <v>768</v>
      </c>
      <c r="I40">
        <v>20</v>
      </c>
      <c r="J40" t="s">
        <v>1118</v>
      </c>
      <c r="K40" t="s">
        <v>766</v>
      </c>
      <c r="L40" t="s">
        <v>1158</v>
      </c>
    </row>
    <row r="41" spans="1:12">
      <c r="A41" t="s">
        <v>183</v>
      </c>
      <c r="B41">
        <v>63</v>
      </c>
      <c r="C41" t="s">
        <v>479</v>
      </c>
      <c r="D41" t="s">
        <v>182</v>
      </c>
      <c r="E41">
        <f>VLOOKUP(A41,batch_design!$J$1:$L$315,2,0)</f>
        <v>63</v>
      </c>
      <c r="H41" t="s">
        <v>438</v>
      </c>
      <c r="I41">
        <v>56</v>
      </c>
      <c r="J41" t="s">
        <v>481</v>
      </c>
      <c r="K41" t="s">
        <v>437</v>
      </c>
      <c r="L41" t="s">
        <v>1159</v>
      </c>
    </row>
    <row r="42" spans="1:12">
      <c r="A42" t="s">
        <v>187</v>
      </c>
      <c r="B42">
        <v>54</v>
      </c>
      <c r="C42" t="s">
        <v>479</v>
      </c>
      <c r="D42" t="s">
        <v>186</v>
      </c>
      <c r="E42">
        <f>VLOOKUP(A42,batch_design!$J$1:$L$315,2,0)</f>
        <v>54</v>
      </c>
      <c r="H42" t="s">
        <v>557</v>
      </c>
      <c r="I42">
        <v>44</v>
      </c>
      <c r="J42" t="s">
        <v>1118</v>
      </c>
      <c r="K42" t="s">
        <v>556</v>
      </c>
      <c r="L42" t="s">
        <v>1160</v>
      </c>
    </row>
    <row r="43" spans="1:12">
      <c r="A43" t="s">
        <v>191</v>
      </c>
      <c r="B43">
        <v>50</v>
      </c>
      <c r="C43" t="s">
        <v>1771</v>
      </c>
      <c r="D43" t="s">
        <v>190</v>
      </c>
      <c r="E43">
        <f>VLOOKUP(A43,batch_design!$J$1:$L$315,2,0)</f>
        <v>50</v>
      </c>
      <c r="H43" t="s">
        <v>613</v>
      </c>
      <c r="I43">
        <v>33</v>
      </c>
      <c r="J43" t="s">
        <v>1118</v>
      </c>
      <c r="K43" t="s">
        <v>611</v>
      </c>
      <c r="L43" t="s">
        <v>1161</v>
      </c>
    </row>
    <row r="44" spans="1:12">
      <c r="A44" t="s">
        <v>195</v>
      </c>
      <c r="B44">
        <v>32</v>
      </c>
      <c r="C44" t="s">
        <v>489</v>
      </c>
      <c r="D44" t="s">
        <v>194</v>
      </c>
      <c r="E44">
        <f>VLOOKUP(A44,batch_design!$J$1:$L$315,2,0)</f>
        <v>32</v>
      </c>
      <c r="H44" t="s">
        <v>725</v>
      </c>
      <c r="I44">
        <v>31</v>
      </c>
      <c r="J44" t="s">
        <v>1118</v>
      </c>
      <c r="K44" t="s">
        <v>724</v>
      </c>
      <c r="L44" t="s">
        <v>1162</v>
      </c>
    </row>
    <row r="45" spans="1:12">
      <c r="A45" t="s">
        <v>199</v>
      </c>
      <c r="B45">
        <v>65</v>
      </c>
      <c r="C45" t="s">
        <v>479</v>
      </c>
      <c r="D45" t="s">
        <v>198</v>
      </c>
      <c r="E45">
        <f>VLOOKUP(A45,batch_design!$J$1:$L$315,2,0)</f>
        <v>65</v>
      </c>
      <c r="H45" t="s">
        <v>752</v>
      </c>
      <c r="I45">
        <v>41</v>
      </c>
      <c r="J45" t="s">
        <v>1118</v>
      </c>
      <c r="K45" t="s">
        <v>751</v>
      </c>
      <c r="L45" t="s">
        <v>1163</v>
      </c>
    </row>
    <row r="46" spans="1:12">
      <c r="A46" t="s">
        <v>203</v>
      </c>
      <c r="B46">
        <v>25</v>
      </c>
      <c r="C46" t="s">
        <v>1771</v>
      </c>
      <c r="D46" t="s">
        <v>202</v>
      </c>
      <c r="E46">
        <f>VLOOKUP(A46,batch_design!$J$1:$L$315,2,0)</f>
        <v>25</v>
      </c>
      <c r="H46" t="s">
        <v>21</v>
      </c>
      <c r="I46">
        <v>56</v>
      </c>
      <c r="J46" t="s">
        <v>479</v>
      </c>
      <c r="K46" t="s">
        <v>19</v>
      </c>
      <c r="L46" t="s">
        <v>1164</v>
      </c>
    </row>
    <row r="47" spans="1:12">
      <c r="A47" t="s">
        <v>207</v>
      </c>
      <c r="B47">
        <v>30</v>
      </c>
      <c r="C47" t="s">
        <v>487</v>
      </c>
      <c r="D47" t="s">
        <v>206</v>
      </c>
      <c r="E47">
        <f>VLOOKUP(A47,batch_design!$J$1:$L$315,2,0)</f>
        <v>30</v>
      </c>
      <c r="H47" t="s">
        <v>175</v>
      </c>
      <c r="I47">
        <v>51</v>
      </c>
      <c r="J47" t="s">
        <v>479</v>
      </c>
      <c r="K47" t="s">
        <v>174</v>
      </c>
      <c r="L47" t="s">
        <v>1165</v>
      </c>
    </row>
    <row r="48" spans="1:12">
      <c r="A48" t="s">
        <v>211</v>
      </c>
      <c r="B48">
        <v>57</v>
      </c>
      <c r="C48" t="s">
        <v>493</v>
      </c>
      <c r="D48" t="s">
        <v>210</v>
      </c>
      <c r="E48">
        <f>VLOOKUP(A48,batch_design!$J$1:$L$315,2,0)</f>
        <v>57</v>
      </c>
      <c r="H48" t="s">
        <v>704</v>
      </c>
      <c r="I48">
        <v>33</v>
      </c>
      <c r="J48" t="s">
        <v>1118</v>
      </c>
      <c r="K48" t="s">
        <v>703</v>
      </c>
      <c r="L48" t="s">
        <v>1166</v>
      </c>
    </row>
    <row r="49" spans="1:12">
      <c r="A49" t="s">
        <v>215</v>
      </c>
      <c r="B49">
        <v>68</v>
      </c>
      <c r="C49" t="s">
        <v>479</v>
      </c>
      <c r="D49" t="s">
        <v>214</v>
      </c>
      <c r="E49">
        <f>VLOOKUP(A49,batch_design!$J$1:$L$315,2,0)</f>
        <v>68</v>
      </c>
      <c r="H49" t="s">
        <v>263</v>
      </c>
      <c r="I49">
        <v>65</v>
      </c>
      <c r="J49" t="s">
        <v>479</v>
      </c>
      <c r="K49" t="s">
        <v>262</v>
      </c>
      <c r="L49" t="s">
        <v>1167</v>
      </c>
    </row>
    <row r="50" spans="1:12">
      <c r="A50" t="s">
        <v>219</v>
      </c>
      <c r="B50">
        <v>63</v>
      </c>
      <c r="C50" t="s">
        <v>479</v>
      </c>
      <c r="D50" t="s">
        <v>218</v>
      </c>
      <c r="E50">
        <f>VLOOKUP(A50,batch_design!$J$1:$L$315,2,0)</f>
        <v>63</v>
      </c>
      <c r="H50" t="s">
        <v>457</v>
      </c>
      <c r="I50">
        <v>64</v>
      </c>
      <c r="J50" t="s">
        <v>479</v>
      </c>
      <c r="K50" t="s">
        <v>456</v>
      </c>
      <c r="L50" t="s">
        <v>1168</v>
      </c>
    </row>
    <row r="51" spans="1:12">
      <c r="A51" t="s">
        <v>223</v>
      </c>
      <c r="B51">
        <v>37</v>
      </c>
      <c r="C51" t="s">
        <v>1771</v>
      </c>
      <c r="D51" t="s">
        <v>222</v>
      </c>
      <c r="E51">
        <f>VLOOKUP(A51,batch_design!$J$1:$L$315,2,0)</f>
        <v>37</v>
      </c>
      <c r="H51" t="s">
        <v>1109</v>
      </c>
      <c r="I51">
        <v>45</v>
      </c>
      <c r="J51" t="s">
        <v>1129</v>
      </c>
      <c r="K51" t="s">
        <v>1108</v>
      </c>
      <c r="L51" t="s">
        <v>1169</v>
      </c>
    </row>
    <row r="52" spans="1:12">
      <c r="A52" t="s">
        <v>227</v>
      </c>
      <c r="B52">
        <v>15</v>
      </c>
      <c r="C52" t="s">
        <v>1771</v>
      </c>
      <c r="D52" t="s">
        <v>226</v>
      </c>
      <c r="E52">
        <f>VLOOKUP(A52,batch_design!$J$1:$L$315,2,0)</f>
        <v>15</v>
      </c>
      <c r="H52" t="s">
        <v>758</v>
      </c>
      <c r="I52">
        <v>42</v>
      </c>
      <c r="J52" t="s">
        <v>1118</v>
      </c>
      <c r="K52" t="s">
        <v>757</v>
      </c>
      <c r="L52" t="s">
        <v>1170</v>
      </c>
    </row>
    <row r="53" spans="1:12">
      <c r="A53" t="s">
        <v>231</v>
      </c>
      <c r="B53">
        <v>42</v>
      </c>
      <c r="C53" t="s">
        <v>489</v>
      </c>
      <c r="D53" t="s">
        <v>230</v>
      </c>
      <c r="E53">
        <f>VLOOKUP(A53,batch_design!$J$1:$L$315,2,0)</f>
        <v>42</v>
      </c>
      <c r="H53" t="s">
        <v>159</v>
      </c>
      <c r="I53">
        <v>25</v>
      </c>
      <c r="J53" t="s">
        <v>495</v>
      </c>
      <c r="K53" t="s">
        <v>158</v>
      </c>
      <c r="L53" t="s">
        <v>1171</v>
      </c>
    </row>
    <row r="54" spans="1:12">
      <c r="A54" t="s">
        <v>235</v>
      </c>
      <c r="B54">
        <v>40</v>
      </c>
      <c r="C54" t="s">
        <v>497</v>
      </c>
      <c r="D54" t="s">
        <v>234</v>
      </c>
      <c r="E54">
        <f>VLOOKUP(A54,batch_design!$J$1:$L$315,2,0)</f>
        <v>40</v>
      </c>
      <c r="H54" t="s">
        <v>207</v>
      </c>
      <c r="I54">
        <v>30</v>
      </c>
      <c r="J54" t="s">
        <v>487</v>
      </c>
      <c r="K54" t="s">
        <v>206</v>
      </c>
      <c r="L54" t="s">
        <v>1172</v>
      </c>
    </row>
    <row r="55" spans="1:12">
      <c r="A55" t="s">
        <v>239</v>
      </c>
      <c r="B55">
        <v>51</v>
      </c>
      <c r="C55" t="s">
        <v>479</v>
      </c>
      <c r="D55" t="s">
        <v>238</v>
      </c>
      <c r="E55">
        <f>VLOOKUP(A55,batch_design!$J$1:$L$315,2,0)</f>
        <v>51</v>
      </c>
      <c r="H55" t="s">
        <v>251</v>
      </c>
      <c r="I55">
        <v>69</v>
      </c>
      <c r="J55" s="20" t="s">
        <v>1777</v>
      </c>
      <c r="K55" t="s">
        <v>250</v>
      </c>
      <c r="L55" t="s">
        <v>1173</v>
      </c>
    </row>
    <row r="56" spans="1:12">
      <c r="A56" t="s">
        <v>243</v>
      </c>
      <c r="B56">
        <v>47</v>
      </c>
      <c r="C56" s="20" t="s">
        <v>1777</v>
      </c>
      <c r="D56" t="s">
        <v>242</v>
      </c>
      <c r="E56">
        <f>VLOOKUP(A56,batch_design!$J$1:$L$315,2,0)</f>
        <v>47</v>
      </c>
      <c r="H56" t="s">
        <v>1041</v>
      </c>
      <c r="I56">
        <v>39</v>
      </c>
      <c r="J56" t="s">
        <v>1129</v>
      </c>
      <c r="K56" t="s">
        <v>1040</v>
      </c>
      <c r="L56" t="s">
        <v>1174</v>
      </c>
    </row>
    <row r="57" spans="1:12">
      <c r="A57" t="s">
        <v>247</v>
      </c>
      <c r="B57">
        <v>64</v>
      </c>
      <c r="C57" t="s">
        <v>479</v>
      </c>
      <c r="D57" t="s">
        <v>246</v>
      </c>
      <c r="E57">
        <f>VLOOKUP(A57,batch_design!$J$1:$L$315,2,0)</f>
        <v>64</v>
      </c>
      <c r="H57" t="s">
        <v>829</v>
      </c>
      <c r="I57">
        <v>23</v>
      </c>
      <c r="J57" t="s">
        <v>1118</v>
      </c>
      <c r="K57" t="s">
        <v>828</v>
      </c>
      <c r="L57" t="s">
        <v>1175</v>
      </c>
    </row>
    <row r="58" spans="1:12">
      <c r="A58" t="s">
        <v>251</v>
      </c>
      <c r="B58">
        <v>69</v>
      </c>
      <c r="C58" s="20" t="s">
        <v>1777</v>
      </c>
      <c r="D58" t="s">
        <v>250</v>
      </c>
      <c r="E58">
        <f>VLOOKUP(A58,batch_design!$J$1:$L$315,2,0)</f>
        <v>69</v>
      </c>
      <c r="H58" t="s">
        <v>786</v>
      </c>
      <c r="I58">
        <v>33</v>
      </c>
      <c r="J58" t="s">
        <v>1118</v>
      </c>
      <c r="K58" t="s">
        <v>785</v>
      </c>
      <c r="L58" t="s">
        <v>1176</v>
      </c>
    </row>
    <row r="59" spans="1:12">
      <c r="A59" t="s">
        <v>255</v>
      </c>
      <c r="B59">
        <v>63</v>
      </c>
      <c r="C59" t="s">
        <v>479</v>
      </c>
      <c r="D59" t="s">
        <v>254</v>
      </c>
      <c r="E59">
        <f>VLOOKUP(A59,batch_design!$J$1:$L$315,2,0)</f>
        <v>63</v>
      </c>
      <c r="H59" t="s">
        <v>634</v>
      </c>
      <c r="I59">
        <v>44</v>
      </c>
      <c r="J59" t="s">
        <v>1118</v>
      </c>
      <c r="K59" t="s">
        <v>633</v>
      </c>
      <c r="L59" t="s">
        <v>1177</v>
      </c>
    </row>
    <row r="60" spans="1:12">
      <c r="A60" t="s">
        <v>259</v>
      </c>
      <c r="B60">
        <v>41</v>
      </c>
      <c r="C60" t="s">
        <v>1771</v>
      </c>
      <c r="D60" t="s">
        <v>258</v>
      </c>
      <c r="E60">
        <f>VLOOKUP(A60,batch_design!$J$1:$L$315,2,0)</f>
        <v>41</v>
      </c>
      <c r="H60" t="s">
        <v>677</v>
      </c>
      <c r="I60">
        <v>30</v>
      </c>
      <c r="J60" t="s">
        <v>1118</v>
      </c>
      <c r="K60" t="s">
        <v>676</v>
      </c>
      <c r="L60" t="s">
        <v>1178</v>
      </c>
    </row>
    <row r="61" spans="1:12">
      <c r="A61" t="s">
        <v>263</v>
      </c>
      <c r="B61">
        <v>65</v>
      </c>
      <c r="C61" t="s">
        <v>479</v>
      </c>
      <c r="D61" t="s">
        <v>262</v>
      </c>
      <c r="E61">
        <f>VLOOKUP(A61,batch_design!$J$1:$L$315,2,0)</f>
        <v>65</v>
      </c>
      <c r="H61" t="s">
        <v>471</v>
      </c>
      <c r="I61">
        <v>54</v>
      </c>
      <c r="J61" t="s">
        <v>489</v>
      </c>
      <c r="K61" t="s">
        <v>470</v>
      </c>
      <c r="L61" t="s">
        <v>1179</v>
      </c>
    </row>
    <row r="62" spans="1:12">
      <c r="A62" t="s">
        <v>267</v>
      </c>
      <c r="B62">
        <v>32</v>
      </c>
      <c r="C62" t="s">
        <v>1771</v>
      </c>
      <c r="D62" t="s">
        <v>266</v>
      </c>
      <c r="E62">
        <f>VLOOKUP(A62,batch_design!$J$1:$L$315,2,0)</f>
        <v>32</v>
      </c>
      <c r="H62" t="s">
        <v>674</v>
      </c>
      <c r="I62">
        <v>36</v>
      </c>
      <c r="J62" t="s">
        <v>1118</v>
      </c>
      <c r="K62" t="s">
        <v>672</v>
      </c>
      <c r="L62" t="s">
        <v>1180</v>
      </c>
    </row>
    <row r="63" spans="1:12">
      <c r="A63" t="s">
        <v>271</v>
      </c>
      <c r="B63">
        <v>54</v>
      </c>
      <c r="C63" t="s">
        <v>479</v>
      </c>
      <c r="D63" t="s">
        <v>270</v>
      </c>
      <c r="E63">
        <f>VLOOKUP(A63,batch_design!$J$1:$L$315,2,0)</f>
        <v>54</v>
      </c>
      <c r="H63" t="s">
        <v>395</v>
      </c>
      <c r="I63">
        <v>69</v>
      </c>
      <c r="J63" t="s">
        <v>499</v>
      </c>
      <c r="K63" t="s">
        <v>394</v>
      </c>
      <c r="L63" t="s">
        <v>1181</v>
      </c>
    </row>
    <row r="64" spans="1:12">
      <c r="A64" t="s">
        <v>275</v>
      </c>
      <c r="B64">
        <v>43</v>
      </c>
      <c r="C64" t="s">
        <v>479</v>
      </c>
      <c r="D64" t="s">
        <v>274</v>
      </c>
      <c r="E64">
        <f>VLOOKUP(A64,batch_design!$J$1:$L$315,2,0)</f>
        <v>43</v>
      </c>
      <c r="H64" t="s">
        <v>963</v>
      </c>
      <c r="I64">
        <v>28</v>
      </c>
      <c r="J64" t="s">
        <v>1129</v>
      </c>
      <c r="K64" t="s">
        <v>962</v>
      </c>
      <c r="L64" t="s">
        <v>1182</v>
      </c>
    </row>
    <row r="65" spans="1:12">
      <c r="A65" t="s">
        <v>279</v>
      </c>
      <c r="B65">
        <v>61</v>
      </c>
      <c r="C65" t="s">
        <v>483</v>
      </c>
      <c r="D65" t="s">
        <v>278</v>
      </c>
      <c r="E65">
        <f>VLOOKUP(A65,batch_design!$J$1:$L$315,2,0)</f>
        <v>61</v>
      </c>
      <c r="H65" t="s">
        <v>799</v>
      </c>
      <c r="I65">
        <v>43</v>
      </c>
      <c r="J65" t="s">
        <v>1118</v>
      </c>
      <c r="K65" t="s">
        <v>798</v>
      </c>
      <c r="L65" t="s">
        <v>1183</v>
      </c>
    </row>
    <row r="66" spans="1:12">
      <c r="A66" t="s">
        <v>283</v>
      </c>
      <c r="B66">
        <v>62</v>
      </c>
      <c r="C66" t="s">
        <v>493</v>
      </c>
      <c r="D66" t="s">
        <v>282</v>
      </c>
      <c r="E66">
        <f>VLOOKUP(A66,batch_design!$J$1:$L$315,2,0)</f>
        <v>62</v>
      </c>
      <c r="H66" t="s">
        <v>987</v>
      </c>
      <c r="I66">
        <v>23</v>
      </c>
      <c r="J66" t="s">
        <v>1129</v>
      </c>
      <c r="K66" t="s">
        <v>986</v>
      </c>
      <c r="L66" t="s">
        <v>1184</v>
      </c>
    </row>
    <row r="67" spans="1:12">
      <c r="A67" t="s">
        <v>287</v>
      </c>
      <c r="B67">
        <v>55</v>
      </c>
      <c r="C67" t="s">
        <v>479</v>
      </c>
      <c r="D67" t="s">
        <v>286</v>
      </c>
      <c r="E67">
        <f>VLOOKUP(A67,batch_design!$J$1:$L$315,2,0)</f>
        <v>55</v>
      </c>
      <c r="H67" t="s">
        <v>371</v>
      </c>
      <c r="I67">
        <v>42</v>
      </c>
      <c r="J67" t="s">
        <v>479</v>
      </c>
      <c r="K67" t="s">
        <v>370</v>
      </c>
      <c r="L67" t="s">
        <v>1185</v>
      </c>
    </row>
    <row r="68" spans="1:12">
      <c r="A68" t="s">
        <v>291</v>
      </c>
      <c r="B68">
        <v>19</v>
      </c>
      <c r="C68" t="s">
        <v>493</v>
      </c>
      <c r="D68" t="s">
        <v>290</v>
      </c>
      <c r="E68">
        <f>VLOOKUP(A68,batch_design!$J$1:$L$315,2,0)</f>
        <v>19</v>
      </c>
      <c r="H68" t="s">
        <v>1023</v>
      </c>
      <c r="I68">
        <v>30</v>
      </c>
      <c r="J68" t="s">
        <v>1129</v>
      </c>
      <c r="K68" t="s">
        <v>1022</v>
      </c>
      <c r="L68" t="s">
        <v>1186</v>
      </c>
    </row>
    <row r="69" spans="1:12">
      <c r="A69" t="s">
        <v>295</v>
      </c>
      <c r="B69">
        <v>51</v>
      </c>
      <c r="C69" t="s">
        <v>479</v>
      </c>
      <c r="D69" t="s">
        <v>294</v>
      </c>
      <c r="E69">
        <f>VLOOKUP(A69,batch_design!$J$1:$L$315,2,0)</f>
        <v>51</v>
      </c>
      <c r="H69" t="s">
        <v>808</v>
      </c>
      <c r="I69">
        <v>23</v>
      </c>
      <c r="J69" t="s">
        <v>1118</v>
      </c>
      <c r="K69" t="s">
        <v>807</v>
      </c>
      <c r="L69" t="s">
        <v>1187</v>
      </c>
    </row>
    <row r="70" spans="1:12">
      <c r="A70" t="s">
        <v>299</v>
      </c>
      <c r="B70">
        <v>63</v>
      </c>
      <c r="C70" t="s">
        <v>479</v>
      </c>
      <c r="D70" t="s">
        <v>298</v>
      </c>
      <c r="E70" t="e">
        <f>VLOOKUP(A70,batch_design!$J$1:$L$315,2,0)</f>
        <v>#N/A</v>
      </c>
      <c r="H70" t="s">
        <v>219</v>
      </c>
      <c r="I70">
        <v>63</v>
      </c>
      <c r="J70" t="s">
        <v>479</v>
      </c>
      <c r="K70" t="s">
        <v>218</v>
      </c>
      <c r="L70" t="s">
        <v>1188</v>
      </c>
    </row>
    <row r="71" spans="1:12">
      <c r="A71" t="s">
        <v>303</v>
      </c>
      <c r="B71">
        <v>31</v>
      </c>
      <c r="C71" t="s">
        <v>483</v>
      </c>
      <c r="D71" t="s">
        <v>302</v>
      </c>
      <c r="E71">
        <f>VLOOKUP(A71,batch_design!$J$1:$L$315,2,0)</f>
        <v>31</v>
      </c>
      <c r="H71" t="s">
        <v>640</v>
      </c>
      <c r="I71">
        <v>35</v>
      </c>
      <c r="J71" t="s">
        <v>1118</v>
      </c>
      <c r="K71" t="s">
        <v>639</v>
      </c>
      <c r="L71" t="s">
        <v>1189</v>
      </c>
    </row>
    <row r="72" spans="1:12">
      <c r="A72" t="s">
        <v>307</v>
      </c>
      <c r="B72">
        <v>50</v>
      </c>
      <c r="C72" t="s">
        <v>479</v>
      </c>
      <c r="D72" t="s">
        <v>306</v>
      </c>
      <c r="E72">
        <f>VLOOKUP(A72,batch_design!$J$1:$L$315,2,0)</f>
        <v>50</v>
      </c>
      <c r="H72" t="s">
        <v>514</v>
      </c>
      <c r="I72">
        <v>49</v>
      </c>
      <c r="J72" t="s">
        <v>1118</v>
      </c>
      <c r="K72" t="s">
        <v>513</v>
      </c>
      <c r="L72" t="s">
        <v>1190</v>
      </c>
    </row>
    <row r="73" spans="1:12">
      <c r="A73" t="s">
        <v>311</v>
      </c>
      <c r="B73">
        <v>52</v>
      </c>
      <c r="C73" t="s">
        <v>1771</v>
      </c>
      <c r="D73" t="s">
        <v>310</v>
      </c>
      <c r="E73">
        <f>VLOOKUP(A73,batch_design!$J$1:$L$315,2,0)</f>
        <v>52</v>
      </c>
      <c r="H73" t="s">
        <v>347</v>
      </c>
      <c r="I73">
        <v>51</v>
      </c>
      <c r="J73" t="s">
        <v>479</v>
      </c>
      <c r="K73" t="s">
        <v>346</v>
      </c>
      <c r="L73" t="s">
        <v>1191</v>
      </c>
    </row>
    <row r="74" spans="1:12">
      <c r="A74" t="s">
        <v>315</v>
      </c>
      <c r="B74">
        <v>50</v>
      </c>
      <c r="C74" s="20" t="s">
        <v>1778</v>
      </c>
      <c r="D74" t="s">
        <v>314</v>
      </c>
      <c r="E74">
        <f>VLOOKUP(A74,batch_design!$J$1:$L$315,2,0)</f>
        <v>50</v>
      </c>
      <c r="H74" t="s">
        <v>566</v>
      </c>
      <c r="I74">
        <v>49</v>
      </c>
      <c r="J74" t="s">
        <v>1118</v>
      </c>
      <c r="K74" t="s">
        <v>565</v>
      </c>
      <c r="L74" t="s">
        <v>1192</v>
      </c>
    </row>
    <row r="75" spans="1:12">
      <c r="A75" t="s">
        <v>319</v>
      </c>
      <c r="B75">
        <v>36</v>
      </c>
      <c r="C75" t="s">
        <v>1771</v>
      </c>
      <c r="D75" t="s">
        <v>318</v>
      </c>
      <c r="E75">
        <f>VLOOKUP(A75,batch_design!$J$1:$L$315,2,0)</f>
        <v>36</v>
      </c>
      <c r="H75" t="s">
        <v>560</v>
      </c>
      <c r="I75">
        <v>32</v>
      </c>
      <c r="J75" t="s">
        <v>1118</v>
      </c>
      <c r="K75" t="s">
        <v>559</v>
      </c>
      <c r="L75" t="s">
        <v>1193</v>
      </c>
    </row>
    <row r="76" spans="1:12">
      <c r="A76" t="s">
        <v>323</v>
      </c>
      <c r="B76">
        <v>51</v>
      </c>
      <c r="C76" t="s">
        <v>481</v>
      </c>
      <c r="D76" t="s">
        <v>322</v>
      </c>
      <c r="E76">
        <f>VLOOKUP(A76,batch_design!$J$1:$L$315,2,0)</f>
        <v>51</v>
      </c>
      <c r="H76" t="s">
        <v>461</v>
      </c>
      <c r="I76">
        <v>57</v>
      </c>
      <c r="J76" t="s">
        <v>479</v>
      </c>
      <c r="K76" t="s">
        <v>460</v>
      </c>
      <c r="L76" t="s">
        <v>1194</v>
      </c>
    </row>
    <row r="77" spans="1:12">
      <c r="A77" t="s">
        <v>327</v>
      </c>
      <c r="B77">
        <v>48</v>
      </c>
      <c r="C77" t="s">
        <v>479</v>
      </c>
      <c r="D77" t="s">
        <v>326</v>
      </c>
      <c r="E77">
        <f>VLOOKUP(A77,batch_design!$J$1:$L$315,2,0)</f>
        <v>48</v>
      </c>
      <c r="H77" t="s">
        <v>569</v>
      </c>
      <c r="I77">
        <v>23</v>
      </c>
      <c r="J77" t="s">
        <v>1118</v>
      </c>
      <c r="K77" t="s">
        <v>568</v>
      </c>
      <c r="L77" t="s">
        <v>1195</v>
      </c>
    </row>
    <row r="78" spans="1:12">
      <c r="A78" t="s">
        <v>331</v>
      </c>
      <c r="B78">
        <v>56</v>
      </c>
      <c r="C78" t="s">
        <v>1771</v>
      </c>
      <c r="D78" t="s">
        <v>330</v>
      </c>
      <c r="E78">
        <f>VLOOKUP(A78,batch_design!$J$1:$L$315,2,0)</f>
        <v>56</v>
      </c>
      <c r="H78" t="s">
        <v>520</v>
      </c>
      <c r="I78">
        <v>50</v>
      </c>
      <c r="J78" t="s">
        <v>1118</v>
      </c>
      <c r="K78" t="s">
        <v>519</v>
      </c>
      <c r="L78" t="s">
        <v>1196</v>
      </c>
    </row>
    <row r="79" spans="1:12">
      <c r="A79" t="s">
        <v>335</v>
      </c>
      <c r="B79">
        <v>35</v>
      </c>
      <c r="C79" t="s">
        <v>1771</v>
      </c>
      <c r="D79" t="s">
        <v>334</v>
      </c>
      <c r="E79">
        <f>VLOOKUP(A79,batch_design!$J$1:$L$315,2,0)</f>
        <v>35</v>
      </c>
      <c r="H79" t="s">
        <v>335</v>
      </c>
      <c r="I79">
        <v>35</v>
      </c>
      <c r="J79" t="s">
        <v>1771</v>
      </c>
      <c r="K79" t="s">
        <v>334</v>
      </c>
      <c r="L79" t="s">
        <v>1197</v>
      </c>
    </row>
    <row r="80" spans="1:12">
      <c r="A80" t="s">
        <v>339</v>
      </c>
      <c r="B80">
        <v>41</v>
      </c>
      <c r="C80" t="s">
        <v>479</v>
      </c>
      <c r="D80" t="s">
        <v>338</v>
      </c>
      <c r="E80">
        <f>VLOOKUP(A80,batch_design!$J$1:$L$315,2,0)</f>
        <v>41</v>
      </c>
      <c r="H80" t="s">
        <v>1097</v>
      </c>
      <c r="I80">
        <v>27</v>
      </c>
      <c r="J80" t="s">
        <v>1129</v>
      </c>
      <c r="K80" t="s">
        <v>1096</v>
      </c>
      <c r="L80" t="s">
        <v>1198</v>
      </c>
    </row>
    <row r="81" spans="1:12">
      <c r="A81" t="s">
        <v>343</v>
      </c>
      <c r="B81">
        <v>59</v>
      </c>
      <c r="C81" t="s">
        <v>479</v>
      </c>
      <c r="D81" t="s">
        <v>342</v>
      </c>
      <c r="E81">
        <f>VLOOKUP(A81,batch_design!$J$1:$L$315,2,0)</f>
        <v>59</v>
      </c>
      <c r="H81" t="s">
        <v>631</v>
      </c>
      <c r="I81">
        <v>41</v>
      </c>
      <c r="J81" t="s">
        <v>1118</v>
      </c>
      <c r="K81" t="s">
        <v>630</v>
      </c>
      <c r="L81" t="s">
        <v>1199</v>
      </c>
    </row>
    <row r="82" spans="1:12">
      <c r="A82" t="s">
        <v>347</v>
      </c>
      <c r="B82">
        <v>51</v>
      </c>
      <c r="C82" t="s">
        <v>479</v>
      </c>
      <c r="D82" t="s">
        <v>346</v>
      </c>
      <c r="E82">
        <f>VLOOKUP(A82,batch_design!$J$1:$L$315,2,0)</f>
        <v>51</v>
      </c>
      <c r="H82" t="s">
        <v>707</v>
      </c>
      <c r="I82">
        <v>37</v>
      </c>
      <c r="J82" t="s">
        <v>1118</v>
      </c>
      <c r="K82" t="s">
        <v>706</v>
      </c>
      <c r="L82" t="s">
        <v>1200</v>
      </c>
    </row>
    <row r="83" spans="1:12">
      <c r="A83" t="s">
        <v>351</v>
      </c>
      <c r="B83">
        <v>48</v>
      </c>
      <c r="C83" t="s">
        <v>479</v>
      </c>
      <c r="D83" t="s">
        <v>350</v>
      </c>
      <c r="E83">
        <f>VLOOKUP(A83,batch_design!$J$1:$L$315,2,0)</f>
        <v>48</v>
      </c>
      <c r="H83" t="s">
        <v>740</v>
      </c>
      <c r="I83">
        <v>31</v>
      </c>
      <c r="J83" t="s">
        <v>1118</v>
      </c>
      <c r="K83" t="s">
        <v>739</v>
      </c>
      <c r="L83" t="s">
        <v>1201</v>
      </c>
    </row>
    <row r="84" spans="1:12">
      <c r="A84" t="s">
        <v>355</v>
      </c>
      <c r="B84">
        <v>67</v>
      </c>
      <c r="C84" s="20" t="s">
        <v>1778</v>
      </c>
      <c r="D84" t="s">
        <v>354</v>
      </c>
      <c r="E84">
        <f>VLOOKUP(A84,batch_design!$J$1:$L$315,2,0)</f>
        <v>67</v>
      </c>
      <c r="H84" t="s">
        <v>761</v>
      </c>
      <c r="I84">
        <v>44</v>
      </c>
      <c r="J84" t="s">
        <v>1118</v>
      </c>
      <c r="K84" t="s">
        <v>760</v>
      </c>
      <c r="L84" t="s">
        <v>1202</v>
      </c>
    </row>
    <row r="85" spans="1:12">
      <c r="A85" t="s">
        <v>359</v>
      </c>
      <c r="B85">
        <v>65</v>
      </c>
      <c r="C85" t="s">
        <v>479</v>
      </c>
      <c r="D85" t="s">
        <v>358</v>
      </c>
      <c r="E85">
        <f>VLOOKUP(A85,batch_design!$J$1:$L$315,2,0)</f>
        <v>65</v>
      </c>
      <c r="H85" t="s">
        <v>37</v>
      </c>
      <c r="I85">
        <v>66</v>
      </c>
      <c r="J85" t="s">
        <v>479</v>
      </c>
      <c r="K85" t="s">
        <v>36</v>
      </c>
      <c r="L85" t="s">
        <v>1203</v>
      </c>
    </row>
    <row r="86" spans="1:12">
      <c r="A86" t="s">
        <v>363</v>
      </c>
      <c r="B86">
        <v>56</v>
      </c>
      <c r="C86" t="s">
        <v>489</v>
      </c>
      <c r="D86" t="s">
        <v>362</v>
      </c>
      <c r="E86">
        <f>VLOOKUP(A86,batch_design!$J$1:$L$315,2,0)</f>
        <v>56</v>
      </c>
      <c r="H86" t="s">
        <v>511</v>
      </c>
      <c r="I86">
        <v>35</v>
      </c>
      <c r="J86" t="s">
        <v>1118</v>
      </c>
      <c r="K86" t="s">
        <v>510</v>
      </c>
      <c r="L86" t="s">
        <v>1204</v>
      </c>
    </row>
    <row r="87" spans="1:12">
      <c r="A87" t="s">
        <v>367</v>
      </c>
      <c r="B87">
        <v>71</v>
      </c>
      <c r="C87" t="s">
        <v>481</v>
      </c>
      <c r="D87" t="s">
        <v>366</v>
      </c>
      <c r="E87">
        <f>VLOOKUP(A87,batch_design!$J$1:$L$315,2,0)</f>
        <v>71</v>
      </c>
      <c r="H87" t="s">
        <v>622</v>
      </c>
      <c r="I87">
        <v>41</v>
      </c>
      <c r="J87" t="s">
        <v>1118</v>
      </c>
      <c r="K87" t="s">
        <v>621</v>
      </c>
      <c r="L87" t="s">
        <v>1205</v>
      </c>
    </row>
    <row r="88" spans="1:12">
      <c r="A88" t="s">
        <v>371</v>
      </c>
      <c r="B88">
        <v>42</v>
      </c>
      <c r="C88" t="s">
        <v>479</v>
      </c>
      <c r="D88" t="s">
        <v>370</v>
      </c>
      <c r="E88">
        <f>VLOOKUP(A88,batch_design!$J$1:$L$315,2,0)</f>
        <v>42</v>
      </c>
      <c r="H88" t="s">
        <v>896</v>
      </c>
      <c r="I88">
        <v>36</v>
      </c>
      <c r="J88" t="s">
        <v>1118</v>
      </c>
      <c r="K88" t="s">
        <v>895</v>
      </c>
      <c r="L88" t="s">
        <v>1206</v>
      </c>
    </row>
    <row r="89" spans="1:12">
      <c r="A89" t="s">
        <v>375</v>
      </c>
      <c r="B89">
        <v>74</v>
      </c>
      <c r="C89" t="s">
        <v>497</v>
      </c>
      <c r="D89" t="s">
        <v>374</v>
      </c>
      <c r="E89" t="e">
        <f>VLOOKUP(A89,batch_design!$J$1:$L$315,2,0)</f>
        <v>#N/A</v>
      </c>
      <c r="H89" t="s">
        <v>780</v>
      </c>
      <c r="I89">
        <v>32</v>
      </c>
      <c r="J89" t="s">
        <v>1118</v>
      </c>
      <c r="K89" t="s">
        <v>779</v>
      </c>
      <c r="L89" t="s">
        <v>1207</v>
      </c>
    </row>
    <row r="90" spans="1:12">
      <c r="A90" t="s">
        <v>379</v>
      </c>
      <c r="B90">
        <v>46</v>
      </c>
      <c r="C90" t="s">
        <v>1771</v>
      </c>
      <c r="D90" t="s">
        <v>378</v>
      </c>
      <c r="E90">
        <f>VLOOKUP(A90,batch_design!$J$1:$L$315,2,0)</f>
        <v>46</v>
      </c>
      <c r="H90" t="s">
        <v>279</v>
      </c>
      <c r="I90">
        <v>61</v>
      </c>
      <c r="J90" t="s">
        <v>483</v>
      </c>
      <c r="K90" t="s">
        <v>278</v>
      </c>
      <c r="L90" t="s">
        <v>1208</v>
      </c>
    </row>
    <row r="91" spans="1:12">
      <c r="A91" t="s">
        <v>383</v>
      </c>
      <c r="B91">
        <v>57</v>
      </c>
      <c r="C91" t="s">
        <v>499</v>
      </c>
      <c r="D91" t="s">
        <v>382</v>
      </c>
      <c r="E91">
        <f>VLOOKUP(A91,batch_design!$J$1:$L$315,2,0)</f>
        <v>57</v>
      </c>
      <c r="H91" t="s">
        <v>1088</v>
      </c>
      <c r="I91">
        <v>46</v>
      </c>
      <c r="J91" t="s">
        <v>1129</v>
      </c>
      <c r="K91" t="s">
        <v>1087</v>
      </c>
      <c r="L91" t="s">
        <v>1209</v>
      </c>
    </row>
    <row r="92" spans="1:12">
      <c r="A92" t="s">
        <v>387</v>
      </c>
      <c r="B92">
        <v>55</v>
      </c>
      <c r="C92" t="s">
        <v>489</v>
      </c>
      <c r="D92" t="s">
        <v>386</v>
      </c>
      <c r="E92">
        <f>VLOOKUP(A92,batch_design!$J$1:$L$315,2,0)</f>
        <v>55</v>
      </c>
      <c r="H92" t="s">
        <v>195</v>
      </c>
      <c r="I92">
        <v>32</v>
      </c>
      <c r="J92" t="s">
        <v>489</v>
      </c>
      <c r="K92" t="s">
        <v>194</v>
      </c>
      <c r="L92" t="s">
        <v>1210</v>
      </c>
    </row>
    <row r="93" spans="1:12">
      <c r="A93" t="s">
        <v>391</v>
      </c>
      <c r="B93">
        <v>67</v>
      </c>
      <c r="C93" t="s">
        <v>479</v>
      </c>
      <c r="D93" t="s">
        <v>390</v>
      </c>
      <c r="E93">
        <f>VLOOKUP(A93,batch_design!$J$1:$L$315,2,0)</f>
        <v>67</v>
      </c>
      <c r="H93" t="s">
        <v>939</v>
      </c>
      <c r="I93">
        <v>25</v>
      </c>
      <c r="J93" t="s">
        <v>1129</v>
      </c>
      <c r="K93" t="s">
        <v>938</v>
      </c>
      <c r="L93" t="s">
        <v>1211</v>
      </c>
    </row>
    <row r="94" spans="1:12">
      <c r="A94" t="s">
        <v>395</v>
      </c>
      <c r="B94">
        <v>69</v>
      </c>
      <c r="C94" t="s">
        <v>499</v>
      </c>
      <c r="D94" t="s">
        <v>394</v>
      </c>
      <c r="E94">
        <f>VLOOKUP(A94,batch_design!$J$1:$L$315,2,0)</f>
        <v>69</v>
      </c>
      <c r="H94" t="s">
        <v>239</v>
      </c>
      <c r="I94">
        <v>51</v>
      </c>
      <c r="J94" t="s">
        <v>479</v>
      </c>
      <c r="K94" t="s">
        <v>238</v>
      </c>
      <c r="L94" t="s">
        <v>1212</v>
      </c>
    </row>
    <row r="95" spans="1:12">
      <c r="A95" t="s">
        <v>399</v>
      </c>
      <c r="B95">
        <v>59</v>
      </c>
      <c r="C95" t="s">
        <v>479</v>
      </c>
      <c r="D95" t="s">
        <v>398</v>
      </c>
      <c r="E95">
        <f>VLOOKUP(A95,batch_design!$J$1:$L$315,2,0)</f>
        <v>59</v>
      </c>
      <c r="H95" t="s">
        <v>875</v>
      </c>
      <c r="I95">
        <v>56</v>
      </c>
      <c r="J95" t="s">
        <v>1118</v>
      </c>
      <c r="K95" t="s">
        <v>874</v>
      </c>
      <c r="L95" t="s">
        <v>1213</v>
      </c>
    </row>
    <row r="96" spans="1:12">
      <c r="A96" t="s">
        <v>403</v>
      </c>
      <c r="B96">
        <v>50</v>
      </c>
      <c r="C96" t="s">
        <v>479</v>
      </c>
      <c r="D96" t="s">
        <v>402</v>
      </c>
      <c r="E96">
        <f>VLOOKUP(A96,batch_design!$J$1:$L$315,2,0)</f>
        <v>50</v>
      </c>
      <c r="H96" t="s">
        <v>271</v>
      </c>
      <c r="I96">
        <v>54</v>
      </c>
      <c r="J96" t="s">
        <v>479</v>
      </c>
      <c r="K96" t="s">
        <v>270</v>
      </c>
      <c r="L96" t="s">
        <v>1214</v>
      </c>
    </row>
    <row r="97" spans="1:12">
      <c r="A97" t="s">
        <v>407</v>
      </c>
      <c r="B97">
        <v>77</v>
      </c>
      <c r="C97" t="s">
        <v>479</v>
      </c>
      <c r="D97" t="s">
        <v>406</v>
      </c>
      <c r="E97">
        <f>VLOOKUP(A97,batch_design!$J$1:$L$315,2,0)</f>
        <v>77</v>
      </c>
      <c r="H97" t="s">
        <v>664</v>
      </c>
      <c r="I97">
        <v>26</v>
      </c>
      <c r="J97" t="s">
        <v>1118</v>
      </c>
      <c r="K97" t="s">
        <v>663</v>
      </c>
      <c r="L97" t="s">
        <v>1215</v>
      </c>
    </row>
    <row r="98" spans="1:12">
      <c r="A98" t="s">
        <v>411</v>
      </c>
      <c r="B98">
        <v>56</v>
      </c>
      <c r="C98" t="s">
        <v>479</v>
      </c>
      <c r="D98" t="s">
        <v>410</v>
      </c>
      <c r="E98">
        <f>VLOOKUP(A98,batch_design!$J$1:$L$315,2,0)</f>
        <v>56</v>
      </c>
      <c r="H98" t="s">
        <v>924</v>
      </c>
      <c r="I98">
        <v>34</v>
      </c>
      <c r="J98" t="s">
        <v>1129</v>
      </c>
      <c r="K98" t="s">
        <v>923</v>
      </c>
      <c r="L98" t="s">
        <v>1216</v>
      </c>
    </row>
    <row r="99" spans="1:12">
      <c r="A99" t="s">
        <v>415</v>
      </c>
      <c r="B99">
        <v>71</v>
      </c>
      <c r="C99" t="s">
        <v>479</v>
      </c>
      <c r="D99" t="s">
        <v>414</v>
      </c>
      <c r="E99">
        <f>VLOOKUP(A99,batch_design!$J$1:$L$315,2,0)</f>
        <v>71</v>
      </c>
      <c r="H99" t="s">
        <v>743</v>
      </c>
      <c r="I99">
        <v>28</v>
      </c>
      <c r="J99" t="s">
        <v>1118</v>
      </c>
      <c r="K99" t="s">
        <v>742</v>
      </c>
      <c r="L99" t="s">
        <v>1217</v>
      </c>
    </row>
    <row r="100" spans="1:12">
      <c r="A100" t="s">
        <v>419</v>
      </c>
      <c r="B100">
        <v>51</v>
      </c>
      <c r="C100" t="s">
        <v>479</v>
      </c>
      <c r="D100" t="s">
        <v>418</v>
      </c>
      <c r="E100">
        <f>VLOOKUP(A100,batch_design!$J$1:$L$315,2,0)</f>
        <v>51</v>
      </c>
      <c r="H100" t="s">
        <v>563</v>
      </c>
      <c r="I100">
        <v>27</v>
      </c>
      <c r="J100" t="s">
        <v>1118</v>
      </c>
      <c r="K100" t="s">
        <v>562</v>
      </c>
      <c r="L100" t="s">
        <v>1218</v>
      </c>
    </row>
    <row r="101" spans="1:12">
      <c r="A101" t="s">
        <v>422</v>
      </c>
      <c r="B101">
        <v>52</v>
      </c>
      <c r="C101" t="s">
        <v>479</v>
      </c>
      <c r="D101" t="s">
        <v>421</v>
      </c>
      <c r="E101">
        <f>VLOOKUP(A101,batch_design!$J$1:$L$315,2,0)</f>
        <v>52</v>
      </c>
      <c r="H101" t="s">
        <v>1035</v>
      </c>
      <c r="I101">
        <v>52</v>
      </c>
      <c r="J101" t="s">
        <v>1129</v>
      </c>
      <c r="K101" t="s">
        <v>1034</v>
      </c>
      <c r="L101" t="s">
        <v>1219</v>
      </c>
    </row>
    <row r="102" spans="1:12">
      <c r="A102" t="s">
        <v>426</v>
      </c>
      <c r="B102">
        <v>51</v>
      </c>
      <c r="C102" t="s">
        <v>489</v>
      </c>
      <c r="D102" t="s">
        <v>425</v>
      </c>
      <c r="E102">
        <f>VLOOKUP(A102,batch_design!$J$1:$L$315,2,0)</f>
        <v>51</v>
      </c>
      <c r="H102" t="s">
        <v>147</v>
      </c>
      <c r="I102">
        <v>40</v>
      </c>
      <c r="J102" s="20" t="s">
        <v>1777</v>
      </c>
      <c r="K102" t="s">
        <v>146</v>
      </c>
      <c r="L102" t="s">
        <v>1220</v>
      </c>
    </row>
    <row r="103" spans="1:12">
      <c r="A103" t="s">
        <v>430</v>
      </c>
      <c r="B103">
        <v>73</v>
      </c>
      <c r="C103" t="s">
        <v>479</v>
      </c>
      <c r="D103" t="s">
        <v>429</v>
      </c>
      <c r="E103">
        <f>VLOOKUP(A103,batch_design!$J$1:$L$315,2,0)</f>
        <v>73</v>
      </c>
      <c r="H103" t="s">
        <v>1058</v>
      </c>
      <c r="I103">
        <v>38</v>
      </c>
      <c r="J103" t="s">
        <v>1129</v>
      </c>
      <c r="K103" t="s">
        <v>1057</v>
      </c>
      <c r="L103" t="s">
        <v>1221</v>
      </c>
    </row>
    <row r="104" spans="1:12">
      <c r="A104" t="s">
        <v>434</v>
      </c>
      <c r="B104">
        <v>60</v>
      </c>
      <c r="C104" t="s">
        <v>479</v>
      </c>
      <c r="D104" t="s">
        <v>433</v>
      </c>
      <c r="E104">
        <f>VLOOKUP(A104,batch_design!$J$1:$L$315,2,0)</f>
        <v>60</v>
      </c>
      <c r="H104" t="s">
        <v>1100</v>
      </c>
      <c r="I104">
        <v>22</v>
      </c>
      <c r="J104" t="s">
        <v>1129</v>
      </c>
      <c r="K104" t="s">
        <v>1099</v>
      </c>
      <c r="L104" t="s">
        <v>1222</v>
      </c>
    </row>
    <row r="105" spans="1:12">
      <c r="A105" t="s">
        <v>438</v>
      </c>
      <c r="B105">
        <v>56</v>
      </c>
      <c r="C105" t="s">
        <v>481</v>
      </c>
      <c r="D105" t="s">
        <v>437</v>
      </c>
      <c r="E105">
        <f>VLOOKUP(A105,batch_design!$J$1:$L$315,2,0)</f>
        <v>56</v>
      </c>
      <c r="H105" t="s">
        <v>179</v>
      </c>
      <c r="I105">
        <v>63</v>
      </c>
      <c r="J105" t="s">
        <v>493</v>
      </c>
      <c r="K105" t="s">
        <v>178</v>
      </c>
      <c r="L105" t="s">
        <v>1223</v>
      </c>
    </row>
    <row r="106" spans="1:12">
      <c r="A106" t="s">
        <v>442</v>
      </c>
      <c r="B106">
        <v>53</v>
      </c>
      <c r="C106" t="s">
        <v>479</v>
      </c>
      <c r="D106" t="s">
        <v>441</v>
      </c>
      <c r="E106">
        <f>VLOOKUP(A106,batch_design!$J$1:$L$315,2,0)</f>
        <v>53</v>
      </c>
      <c r="H106" t="s">
        <v>637</v>
      </c>
      <c r="I106">
        <v>40</v>
      </c>
      <c r="J106" t="s">
        <v>1118</v>
      </c>
      <c r="K106" t="s">
        <v>636</v>
      </c>
      <c r="L106" t="s">
        <v>1224</v>
      </c>
    </row>
    <row r="107" spans="1:12">
      <c r="A107" t="s">
        <v>446</v>
      </c>
      <c r="B107">
        <v>48</v>
      </c>
      <c r="C107" t="s">
        <v>479</v>
      </c>
      <c r="D107" t="s">
        <v>445</v>
      </c>
      <c r="E107">
        <f>VLOOKUP(A107,batch_design!$J$1:$L$315,2,0)</f>
        <v>48</v>
      </c>
      <c r="H107" t="s">
        <v>403</v>
      </c>
      <c r="I107">
        <v>50</v>
      </c>
      <c r="J107" t="s">
        <v>479</v>
      </c>
      <c r="K107" t="s">
        <v>402</v>
      </c>
      <c r="L107" t="s">
        <v>1225</v>
      </c>
    </row>
    <row r="108" spans="1:12">
      <c r="A108" t="s">
        <v>450</v>
      </c>
      <c r="B108">
        <v>69</v>
      </c>
      <c r="C108" t="s">
        <v>479</v>
      </c>
      <c r="D108" t="s">
        <v>449</v>
      </c>
      <c r="E108">
        <f>VLOOKUP(A108,batch_design!$J$1:$L$315,2,0)</f>
        <v>69</v>
      </c>
      <c r="H108" t="s">
        <v>16</v>
      </c>
      <c r="I108">
        <v>71</v>
      </c>
      <c r="J108" t="s">
        <v>479</v>
      </c>
      <c r="K108" t="s">
        <v>14</v>
      </c>
      <c r="L108" t="s">
        <v>1226</v>
      </c>
    </row>
    <row r="109" spans="1:12">
      <c r="A109" t="s">
        <v>454</v>
      </c>
      <c r="B109">
        <v>75</v>
      </c>
      <c r="C109" t="s">
        <v>481</v>
      </c>
      <c r="D109" t="s">
        <v>453</v>
      </c>
      <c r="E109">
        <f>VLOOKUP(A109,batch_design!$J$1:$L$315,2,0)</f>
        <v>75</v>
      </c>
      <c r="H109" t="s">
        <v>722</v>
      </c>
      <c r="I109">
        <v>38</v>
      </c>
      <c r="J109" t="s">
        <v>1118</v>
      </c>
      <c r="K109" t="s">
        <v>721</v>
      </c>
      <c r="L109" t="s">
        <v>1227</v>
      </c>
    </row>
    <row r="110" spans="1:12">
      <c r="A110" t="s">
        <v>457</v>
      </c>
      <c r="B110">
        <v>64</v>
      </c>
      <c r="C110" t="s">
        <v>479</v>
      </c>
      <c r="D110" t="s">
        <v>456</v>
      </c>
      <c r="E110">
        <f>VLOOKUP(A110,batch_design!$J$1:$L$315,2,0)</f>
        <v>64</v>
      </c>
      <c r="H110" t="s">
        <v>850</v>
      </c>
      <c r="I110">
        <v>32</v>
      </c>
      <c r="J110" t="s">
        <v>1118</v>
      </c>
      <c r="K110" t="s">
        <v>849</v>
      </c>
      <c r="L110" t="s">
        <v>1228</v>
      </c>
    </row>
    <row r="111" spans="1:12">
      <c r="A111" t="s">
        <v>461</v>
      </c>
      <c r="B111">
        <v>57</v>
      </c>
      <c r="C111" t="s">
        <v>479</v>
      </c>
      <c r="D111" t="s">
        <v>460</v>
      </c>
      <c r="E111">
        <f>VLOOKUP(A111,batch_design!$J$1:$L$315,2,0)</f>
        <v>57</v>
      </c>
      <c r="H111" t="s">
        <v>231</v>
      </c>
      <c r="I111">
        <v>42</v>
      </c>
      <c r="J111" t="s">
        <v>489</v>
      </c>
      <c r="K111" t="s">
        <v>230</v>
      </c>
      <c r="L111" t="s">
        <v>1229</v>
      </c>
    </row>
    <row r="112" spans="1:12">
      <c r="A112" t="s">
        <v>464</v>
      </c>
      <c r="B112">
        <v>71</v>
      </c>
      <c r="C112" t="s">
        <v>479</v>
      </c>
      <c r="D112" t="s">
        <v>463</v>
      </c>
      <c r="E112">
        <f>VLOOKUP(A112,batch_design!$J$1:$L$315,2,0)</f>
        <v>71</v>
      </c>
      <c r="H112" t="s">
        <v>915</v>
      </c>
      <c r="I112">
        <v>22</v>
      </c>
      <c r="J112" t="s">
        <v>1129</v>
      </c>
      <c r="K112" t="s">
        <v>914</v>
      </c>
      <c r="L112" t="s">
        <v>1230</v>
      </c>
    </row>
    <row r="113" spans="1:12">
      <c r="A113" t="s">
        <v>467</v>
      </c>
      <c r="B113">
        <v>51</v>
      </c>
      <c r="C113" t="s">
        <v>479</v>
      </c>
      <c r="D113" t="s">
        <v>466</v>
      </c>
      <c r="E113">
        <f>VLOOKUP(A113,batch_design!$J$1:$L$315,2,0)</f>
        <v>51</v>
      </c>
      <c r="H113" t="s">
        <v>71</v>
      </c>
      <c r="I113">
        <v>50</v>
      </c>
      <c r="J113" s="20" t="s">
        <v>1774</v>
      </c>
      <c r="K113" t="s">
        <v>69</v>
      </c>
      <c r="L113" t="s">
        <v>1231</v>
      </c>
    </row>
    <row r="114" spans="1:12">
      <c r="A114" t="s">
        <v>471</v>
      </c>
      <c r="B114">
        <v>54</v>
      </c>
      <c r="C114" t="s">
        <v>489</v>
      </c>
      <c r="D114" t="s">
        <v>470</v>
      </c>
      <c r="E114">
        <f>VLOOKUP(A114,batch_design!$J$1:$L$315,2,0)</f>
        <v>54</v>
      </c>
      <c r="H114" t="s">
        <v>1008</v>
      </c>
      <c r="I114">
        <v>43</v>
      </c>
      <c r="J114" t="s">
        <v>1129</v>
      </c>
      <c r="K114" t="s">
        <v>1007</v>
      </c>
      <c r="L114" t="s">
        <v>1232</v>
      </c>
    </row>
    <row r="115" spans="1:12">
      <c r="A115" t="s">
        <v>474</v>
      </c>
      <c r="B115">
        <v>60</v>
      </c>
      <c r="C115" t="s">
        <v>479</v>
      </c>
      <c r="D115" t="s">
        <v>473</v>
      </c>
      <c r="E115">
        <f>VLOOKUP(A115,batch_design!$J$1:$L$315,2,0)</f>
        <v>60</v>
      </c>
      <c r="H115" t="s">
        <v>619</v>
      </c>
      <c r="I115">
        <v>24</v>
      </c>
      <c r="J115" t="s">
        <v>1118</v>
      </c>
      <c r="K115" t="s">
        <v>618</v>
      </c>
      <c r="L115" t="s">
        <v>1233</v>
      </c>
    </row>
    <row r="116" spans="1:12">
      <c r="A116" t="s">
        <v>505</v>
      </c>
      <c r="B116">
        <v>57</v>
      </c>
      <c r="C116" t="s">
        <v>1118</v>
      </c>
      <c r="D116" t="s">
        <v>504</v>
      </c>
      <c r="E116">
        <f>VLOOKUP(A116,batch_design!$J$1:$L$315,2,0)</f>
        <v>57</v>
      </c>
      <c r="H116" t="s">
        <v>581</v>
      </c>
      <c r="I116">
        <v>42</v>
      </c>
      <c r="J116" t="s">
        <v>1118</v>
      </c>
      <c r="K116" t="s">
        <v>580</v>
      </c>
      <c r="L116" t="s">
        <v>1234</v>
      </c>
    </row>
    <row r="117" spans="1:12">
      <c r="A117" t="s">
        <v>508</v>
      </c>
      <c r="B117">
        <v>39</v>
      </c>
      <c r="C117" t="s">
        <v>1118</v>
      </c>
      <c r="D117" t="s">
        <v>507</v>
      </c>
      <c r="E117">
        <f>VLOOKUP(A117,batch_design!$J$1:$L$315,2,0)</f>
        <v>39</v>
      </c>
      <c r="H117" t="s">
        <v>689</v>
      </c>
      <c r="I117">
        <v>26</v>
      </c>
      <c r="J117" t="s">
        <v>1118</v>
      </c>
      <c r="K117" t="s">
        <v>688</v>
      </c>
      <c r="L117" t="s">
        <v>1235</v>
      </c>
    </row>
    <row r="118" spans="1:12">
      <c r="A118" t="s">
        <v>511</v>
      </c>
      <c r="B118">
        <v>35</v>
      </c>
      <c r="C118" t="s">
        <v>1118</v>
      </c>
      <c r="D118" t="s">
        <v>510</v>
      </c>
      <c r="E118">
        <f>VLOOKUP(A118,batch_design!$J$1:$L$315,2,0)</f>
        <v>35</v>
      </c>
      <c r="H118" t="s">
        <v>1064</v>
      </c>
      <c r="I118">
        <v>29</v>
      </c>
      <c r="J118" t="s">
        <v>1129</v>
      </c>
      <c r="K118" t="s">
        <v>1063</v>
      </c>
      <c r="L118" t="s">
        <v>1236</v>
      </c>
    </row>
    <row r="119" spans="1:12">
      <c r="A119" t="s">
        <v>514</v>
      </c>
      <c r="B119">
        <v>49</v>
      </c>
      <c r="C119" t="s">
        <v>1118</v>
      </c>
      <c r="D119" t="s">
        <v>513</v>
      </c>
      <c r="E119">
        <f>VLOOKUP(A119,batch_design!$J$1:$L$315,2,0)</f>
        <v>49</v>
      </c>
      <c r="H119" t="s">
        <v>391</v>
      </c>
      <c r="I119">
        <v>67</v>
      </c>
      <c r="J119" t="s">
        <v>479</v>
      </c>
      <c r="K119" t="s">
        <v>390</v>
      </c>
      <c r="L119" t="s">
        <v>1237</v>
      </c>
    </row>
    <row r="120" spans="1:12">
      <c r="A120" t="s">
        <v>517</v>
      </c>
      <c r="B120">
        <v>77</v>
      </c>
      <c r="C120" t="s">
        <v>1118</v>
      </c>
      <c r="D120" t="s">
        <v>516</v>
      </c>
      <c r="E120">
        <f>VLOOKUP(A120,batch_design!$J$1:$L$315,2,0)</f>
        <v>77</v>
      </c>
      <c r="H120" t="s">
        <v>430</v>
      </c>
      <c r="I120">
        <v>73</v>
      </c>
      <c r="J120" t="s">
        <v>479</v>
      </c>
      <c r="K120" t="s">
        <v>429</v>
      </c>
      <c r="L120" t="s">
        <v>1238</v>
      </c>
    </row>
    <row r="121" spans="1:12">
      <c r="A121" t="s">
        <v>520</v>
      </c>
      <c r="B121">
        <v>50</v>
      </c>
      <c r="C121" t="s">
        <v>1118</v>
      </c>
      <c r="D121" t="s">
        <v>519</v>
      </c>
      <c r="E121">
        <f>VLOOKUP(A121,batch_design!$J$1:$L$315,2,0)</f>
        <v>50</v>
      </c>
      <c r="H121" t="s">
        <v>1085</v>
      </c>
      <c r="I121">
        <v>39</v>
      </c>
      <c r="J121" t="s">
        <v>1129</v>
      </c>
      <c r="K121" t="s">
        <v>1084</v>
      </c>
      <c r="L121" t="s">
        <v>1239</v>
      </c>
    </row>
    <row r="122" spans="1:12">
      <c r="A122" t="s">
        <v>523</v>
      </c>
      <c r="B122">
        <v>40</v>
      </c>
      <c r="C122" t="s">
        <v>1118</v>
      </c>
      <c r="D122" t="s">
        <v>522</v>
      </c>
      <c r="E122">
        <f>VLOOKUP(A122,batch_design!$J$1:$L$315,2,0)</f>
        <v>40</v>
      </c>
      <c r="H122" t="s">
        <v>331</v>
      </c>
      <c r="I122">
        <v>56</v>
      </c>
      <c r="J122" t="s">
        <v>1771</v>
      </c>
      <c r="K122" t="s">
        <v>330</v>
      </c>
      <c r="L122" t="s">
        <v>1240</v>
      </c>
    </row>
    <row r="123" spans="1:12">
      <c r="A123" t="s">
        <v>526</v>
      </c>
      <c r="B123">
        <v>63</v>
      </c>
      <c r="C123" t="s">
        <v>1118</v>
      </c>
      <c r="D123" t="s">
        <v>525</v>
      </c>
      <c r="E123">
        <f>VLOOKUP(A123,batch_design!$J$1:$L$315,2,0)</f>
        <v>63</v>
      </c>
      <c r="H123" t="s">
        <v>545</v>
      </c>
      <c r="I123">
        <v>25</v>
      </c>
      <c r="J123" t="s">
        <v>1118</v>
      </c>
      <c r="K123" t="s">
        <v>544</v>
      </c>
      <c r="L123" t="s">
        <v>1241</v>
      </c>
    </row>
    <row r="124" spans="1:12">
      <c r="A124" t="s">
        <v>529</v>
      </c>
      <c r="B124">
        <v>50</v>
      </c>
      <c r="C124" t="s">
        <v>1118</v>
      </c>
      <c r="D124" t="s">
        <v>528</v>
      </c>
      <c r="E124">
        <f>VLOOKUP(A124,batch_design!$J$1:$L$315,2,0)</f>
        <v>50</v>
      </c>
      <c r="H124" t="s">
        <v>610</v>
      </c>
      <c r="I124">
        <v>48</v>
      </c>
      <c r="J124" t="s">
        <v>1118</v>
      </c>
      <c r="K124" t="s">
        <v>609</v>
      </c>
      <c r="L124" t="s">
        <v>1242</v>
      </c>
    </row>
    <row r="125" spans="1:12">
      <c r="A125" t="s">
        <v>533</v>
      </c>
      <c r="B125">
        <v>40</v>
      </c>
      <c r="C125" t="s">
        <v>1118</v>
      </c>
      <c r="D125" t="s">
        <v>532</v>
      </c>
      <c r="E125">
        <f>VLOOKUP(A125,batch_design!$J$1:$L$315,2,0)</f>
        <v>40</v>
      </c>
      <c r="H125" t="s">
        <v>223</v>
      </c>
      <c r="I125">
        <v>37</v>
      </c>
      <c r="J125" t="s">
        <v>1771</v>
      </c>
      <c r="K125" t="s">
        <v>222</v>
      </c>
      <c r="L125" t="s">
        <v>1243</v>
      </c>
    </row>
    <row r="126" spans="1:12">
      <c r="A126" t="s">
        <v>536</v>
      </c>
      <c r="B126">
        <v>33</v>
      </c>
      <c r="C126" t="s">
        <v>1118</v>
      </c>
      <c r="D126" t="s">
        <v>535</v>
      </c>
      <c r="E126">
        <f>VLOOKUP(A126,batch_design!$J$1:$L$315,2,0)</f>
        <v>33</v>
      </c>
      <c r="H126" t="s">
        <v>419</v>
      </c>
      <c r="I126">
        <v>51</v>
      </c>
      <c r="J126" t="s">
        <v>479</v>
      </c>
      <c r="K126" t="s">
        <v>418</v>
      </c>
      <c r="L126" t="s">
        <v>1244</v>
      </c>
    </row>
    <row r="127" spans="1:12">
      <c r="A127" t="s">
        <v>539</v>
      </c>
      <c r="B127">
        <v>40</v>
      </c>
      <c r="C127" t="s">
        <v>1118</v>
      </c>
      <c r="D127" t="s">
        <v>538</v>
      </c>
      <c r="E127">
        <f>VLOOKUP(A127,batch_design!$J$1:$L$315,2,0)</f>
        <v>40</v>
      </c>
      <c r="H127" t="s">
        <v>592</v>
      </c>
      <c r="I127">
        <v>41</v>
      </c>
      <c r="J127" t="s">
        <v>1118</v>
      </c>
      <c r="K127" t="s">
        <v>591</v>
      </c>
      <c r="L127" t="s">
        <v>1245</v>
      </c>
    </row>
    <row r="128" spans="1:12">
      <c r="A128" t="s">
        <v>542</v>
      </c>
      <c r="B128">
        <v>27</v>
      </c>
      <c r="C128" t="s">
        <v>1118</v>
      </c>
      <c r="D128" t="s">
        <v>541</v>
      </c>
      <c r="E128">
        <f>VLOOKUP(A128,batch_design!$J$1:$L$315,2,0)</f>
        <v>27</v>
      </c>
      <c r="H128" t="s">
        <v>1079</v>
      </c>
      <c r="I128">
        <v>42</v>
      </c>
      <c r="J128" t="s">
        <v>1129</v>
      </c>
      <c r="K128" t="s">
        <v>1078</v>
      </c>
      <c r="L128" t="s">
        <v>1246</v>
      </c>
    </row>
    <row r="129" spans="1:12">
      <c r="A129" t="s">
        <v>545</v>
      </c>
      <c r="B129">
        <v>25</v>
      </c>
      <c r="C129" t="s">
        <v>1118</v>
      </c>
      <c r="D129" t="s">
        <v>544</v>
      </c>
      <c r="E129">
        <f>VLOOKUP(A129,batch_design!$J$1:$L$315,2,0)</f>
        <v>25</v>
      </c>
      <c r="H129" t="s">
        <v>890</v>
      </c>
      <c r="I129">
        <v>60</v>
      </c>
      <c r="J129" t="s">
        <v>1118</v>
      </c>
      <c r="K129" t="s">
        <v>889</v>
      </c>
      <c r="L129" t="s">
        <v>1247</v>
      </c>
    </row>
    <row r="130" spans="1:12">
      <c r="A130" t="s">
        <v>548</v>
      </c>
      <c r="B130">
        <v>26</v>
      </c>
      <c r="C130" t="s">
        <v>1118</v>
      </c>
      <c r="D130" t="s">
        <v>547</v>
      </c>
      <c r="E130">
        <f>VLOOKUP(A130,batch_design!$J$1:$L$315,2,0)</f>
        <v>26</v>
      </c>
      <c r="H130" t="s">
        <v>291</v>
      </c>
      <c r="I130">
        <v>19</v>
      </c>
      <c r="J130" t="s">
        <v>493</v>
      </c>
      <c r="K130" t="s">
        <v>290</v>
      </c>
      <c r="L130" t="s">
        <v>1248</v>
      </c>
    </row>
    <row r="131" spans="1:12">
      <c r="A131" t="s">
        <v>551</v>
      </c>
      <c r="B131">
        <v>38</v>
      </c>
      <c r="C131" t="s">
        <v>1118</v>
      </c>
      <c r="D131" t="s">
        <v>550</v>
      </c>
      <c r="E131">
        <f>VLOOKUP(A131,batch_design!$J$1:$L$315,2,0)</f>
        <v>38</v>
      </c>
      <c r="H131" t="s">
        <v>764</v>
      </c>
      <c r="I131">
        <v>45</v>
      </c>
      <c r="J131" t="s">
        <v>1118</v>
      </c>
      <c r="K131" t="s">
        <v>763</v>
      </c>
      <c r="L131" t="s">
        <v>1249</v>
      </c>
    </row>
    <row r="132" spans="1:12">
      <c r="A132" t="s">
        <v>554</v>
      </c>
      <c r="B132">
        <v>35</v>
      </c>
      <c r="C132" t="s">
        <v>1118</v>
      </c>
      <c r="D132" t="s">
        <v>553</v>
      </c>
      <c r="E132">
        <f>VLOOKUP(A132,batch_design!$J$1:$L$315,2,0)</f>
        <v>35</v>
      </c>
      <c r="H132" t="s">
        <v>584</v>
      </c>
      <c r="I132">
        <v>30</v>
      </c>
      <c r="J132" t="s">
        <v>1118</v>
      </c>
      <c r="K132" t="s">
        <v>583</v>
      </c>
      <c r="L132" t="s">
        <v>1250</v>
      </c>
    </row>
    <row r="133" spans="1:12">
      <c r="A133" t="s">
        <v>557</v>
      </c>
      <c r="B133">
        <v>44</v>
      </c>
      <c r="C133" t="s">
        <v>1118</v>
      </c>
      <c r="D133" t="s">
        <v>556</v>
      </c>
      <c r="E133">
        <f>VLOOKUP(A133,batch_design!$J$1:$L$315,2,0)</f>
        <v>44</v>
      </c>
      <c r="H133" t="s">
        <v>731</v>
      </c>
      <c r="I133">
        <v>24</v>
      </c>
      <c r="J133" t="s">
        <v>1118</v>
      </c>
      <c r="K133" t="s">
        <v>730</v>
      </c>
      <c r="L133" t="s">
        <v>1251</v>
      </c>
    </row>
    <row r="134" spans="1:12">
      <c r="A134" t="s">
        <v>560</v>
      </c>
      <c r="B134">
        <v>32</v>
      </c>
      <c r="C134" t="s">
        <v>1118</v>
      </c>
      <c r="D134" t="s">
        <v>559</v>
      </c>
      <c r="E134">
        <f>VLOOKUP(A134,batch_design!$J$1:$L$315,2,0)</f>
        <v>32</v>
      </c>
      <c r="H134" t="s">
        <v>61</v>
      </c>
      <c r="I134">
        <v>61</v>
      </c>
      <c r="J134" t="s">
        <v>479</v>
      </c>
      <c r="K134" t="s">
        <v>59</v>
      </c>
      <c r="L134" t="s">
        <v>1252</v>
      </c>
    </row>
    <row r="135" spans="1:12">
      <c r="A135" t="s">
        <v>563</v>
      </c>
      <c r="B135">
        <v>27</v>
      </c>
      <c r="C135" t="s">
        <v>1118</v>
      </c>
      <c r="D135" t="s">
        <v>562</v>
      </c>
      <c r="E135">
        <f>VLOOKUP(A135,batch_design!$J$1:$L$315,2,0)</f>
        <v>27</v>
      </c>
      <c r="H135" t="s">
        <v>853</v>
      </c>
      <c r="I135">
        <v>22</v>
      </c>
      <c r="J135" t="s">
        <v>1118</v>
      </c>
      <c r="K135" t="s">
        <v>852</v>
      </c>
      <c r="L135" t="s">
        <v>1253</v>
      </c>
    </row>
    <row r="136" spans="1:12">
      <c r="A136" t="s">
        <v>566</v>
      </c>
      <c r="B136">
        <v>49</v>
      </c>
      <c r="C136" t="s">
        <v>1118</v>
      </c>
      <c r="D136" t="s">
        <v>565</v>
      </c>
      <c r="E136">
        <f>VLOOKUP(A136,batch_design!$J$1:$L$315,2,0)</f>
        <v>49</v>
      </c>
      <c r="H136" t="s">
        <v>529</v>
      </c>
      <c r="I136">
        <v>50</v>
      </c>
      <c r="J136" t="s">
        <v>1118</v>
      </c>
      <c r="K136" t="s">
        <v>528</v>
      </c>
      <c r="L136" t="s">
        <v>1254</v>
      </c>
    </row>
    <row r="137" spans="1:12">
      <c r="A137" t="s">
        <v>569</v>
      </c>
      <c r="B137">
        <v>23</v>
      </c>
      <c r="C137" t="s">
        <v>1118</v>
      </c>
      <c r="D137" t="s">
        <v>568</v>
      </c>
      <c r="E137">
        <f>VLOOKUP(A137,batch_design!$J$1:$L$315,2,0)</f>
        <v>23</v>
      </c>
      <c r="H137" t="s">
        <v>811</v>
      </c>
      <c r="I137">
        <v>20</v>
      </c>
      <c r="J137" t="s">
        <v>1118</v>
      </c>
      <c r="K137" t="s">
        <v>810</v>
      </c>
      <c r="L137" t="s">
        <v>1255</v>
      </c>
    </row>
    <row r="138" spans="1:12">
      <c r="A138" t="s">
        <v>572</v>
      </c>
      <c r="B138">
        <v>30</v>
      </c>
      <c r="C138" t="s">
        <v>1118</v>
      </c>
      <c r="D138" t="s">
        <v>571</v>
      </c>
      <c r="E138">
        <f>VLOOKUP(A138,batch_design!$J$1:$L$315,2,0)</f>
        <v>30</v>
      </c>
      <c r="H138" t="s">
        <v>863</v>
      </c>
      <c r="I138">
        <v>23</v>
      </c>
      <c r="J138" t="s">
        <v>1118</v>
      </c>
      <c r="K138" t="s">
        <v>862</v>
      </c>
      <c r="L138" t="s">
        <v>1256</v>
      </c>
    </row>
    <row r="139" spans="1:12">
      <c r="A139" t="s">
        <v>575</v>
      </c>
      <c r="B139">
        <v>50</v>
      </c>
      <c r="C139" t="s">
        <v>1118</v>
      </c>
      <c r="D139" t="s">
        <v>574</v>
      </c>
      <c r="E139">
        <f>VLOOKUP(A139,batch_design!$J$1:$L$315,2,0)</f>
        <v>50</v>
      </c>
      <c r="H139" t="s">
        <v>517</v>
      </c>
      <c r="I139">
        <v>77</v>
      </c>
      <c r="J139" t="s">
        <v>1118</v>
      </c>
      <c r="K139" t="s">
        <v>516</v>
      </c>
      <c r="L139" t="s">
        <v>1257</v>
      </c>
    </row>
    <row r="140" spans="1:12">
      <c r="A140" t="s">
        <v>578</v>
      </c>
      <c r="B140">
        <v>58</v>
      </c>
      <c r="C140" t="s">
        <v>1118</v>
      </c>
      <c r="D140" t="s">
        <v>577</v>
      </c>
      <c r="E140">
        <f>VLOOKUP(A140,batch_design!$J$1:$L$315,2,0)</f>
        <v>58</v>
      </c>
      <c r="H140" t="s">
        <v>1014</v>
      </c>
      <c r="I140">
        <v>37</v>
      </c>
      <c r="J140" t="s">
        <v>1129</v>
      </c>
      <c r="K140" t="s">
        <v>1013</v>
      </c>
      <c r="L140" t="s">
        <v>1258</v>
      </c>
    </row>
    <row r="141" spans="1:12">
      <c r="A141" t="s">
        <v>581</v>
      </c>
      <c r="B141">
        <v>42</v>
      </c>
      <c r="C141" t="s">
        <v>1118</v>
      </c>
      <c r="D141" t="s">
        <v>580</v>
      </c>
      <c r="E141">
        <f>VLOOKUP(A141,batch_design!$J$1:$L$315,2,0)</f>
        <v>42</v>
      </c>
      <c r="H141" t="s">
        <v>1011</v>
      </c>
      <c r="I141">
        <v>57</v>
      </c>
      <c r="J141" t="s">
        <v>1129</v>
      </c>
      <c r="K141" t="s">
        <v>1010</v>
      </c>
      <c r="L141" t="s">
        <v>1259</v>
      </c>
    </row>
    <row r="142" spans="1:12">
      <c r="A142" t="s">
        <v>584</v>
      </c>
      <c r="B142">
        <v>30</v>
      </c>
      <c r="C142" t="s">
        <v>1118</v>
      </c>
      <c r="D142" t="s">
        <v>583</v>
      </c>
      <c r="E142">
        <f>VLOOKUP(A142,batch_design!$J$1:$L$315,2,0)</f>
        <v>30</v>
      </c>
      <c r="H142" t="s">
        <v>387</v>
      </c>
      <c r="I142">
        <v>55</v>
      </c>
      <c r="J142" t="s">
        <v>489</v>
      </c>
      <c r="K142" t="s">
        <v>386</v>
      </c>
      <c r="L142" t="s">
        <v>1260</v>
      </c>
    </row>
    <row r="143" spans="1:12">
      <c r="A143" t="s">
        <v>586</v>
      </c>
      <c r="B143">
        <v>45</v>
      </c>
      <c r="C143" t="s">
        <v>1118</v>
      </c>
      <c r="D143" t="s">
        <v>532</v>
      </c>
      <c r="E143">
        <f>VLOOKUP(A143,batch_design!$J$1:$L$315,2,0)</f>
        <v>45</v>
      </c>
      <c r="H143" t="s">
        <v>589</v>
      </c>
      <c r="I143">
        <v>22</v>
      </c>
      <c r="J143" t="s">
        <v>1118</v>
      </c>
      <c r="K143" t="s">
        <v>588</v>
      </c>
      <c r="L143" t="s">
        <v>1261</v>
      </c>
    </row>
    <row r="144" spans="1:12">
      <c r="A144" t="s">
        <v>589</v>
      </c>
      <c r="B144">
        <v>22</v>
      </c>
      <c r="C144" t="s">
        <v>1118</v>
      </c>
      <c r="D144" t="s">
        <v>588</v>
      </c>
      <c r="E144">
        <f>VLOOKUP(A144,batch_design!$J$1:$L$315,2,0)</f>
        <v>22</v>
      </c>
      <c r="H144" t="s">
        <v>351</v>
      </c>
      <c r="I144">
        <v>48</v>
      </c>
      <c r="J144" t="s">
        <v>479</v>
      </c>
      <c r="K144" t="s">
        <v>350</v>
      </c>
      <c r="L144" t="s">
        <v>1262</v>
      </c>
    </row>
    <row r="145" spans="1:12">
      <c r="A145" t="s">
        <v>592</v>
      </c>
      <c r="B145">
        <v>41</v>
      </c>
      <c r="C145" t="s">
        <v>1118</v>
      </c>
      <c r="D145" t="s">
        <v>591</v>
      </c>
      <c r="E145">
        <f>VLOOKUP(A145,batch_design!$J$1:$L$315,2,0)</f>
        <v>41</v>
      </c>
      <c r="H145" t="s">
        <v>655</v>
      </c>
      <c r="I145">
        <v>34</v>
      </c>
      <c r="J145" t="s">
        <v>1118</v>
      </c>
      <c r="K145" t="s">
        <v>654</v>
      </c>
      <c r="L145" t="s">
        <v>1263</v>
      </c>
    </row>
    <row r="146" spans="1:12">
      <c r="A146" t="s">
        <v>595</v>
      </c>
      <c r="B146">
        <v>46</v>
      </c>
      <c r="C146" t="s">
        <v>1118</v>
      </c>
      <c r="D146" t="s">
        <v>594</v>
      </c>
      <c r="E146">
        <f>VLOOKUP(A146,batch_design!$J$1:$L$315,2,0)</f>
        <v>46</v>
      </c>
      <c r="H146" t="s">
        <v>243</v>
      </c>
      <c r="I146">
        <v>47</v>
      </c>
      <c r="J146" s="20" t="s">
        <v>1777</v>
      </c>
      <c r="K146" t="s">
        <v>242</v>
      </c>
      <c r="L146" t="s">
        <v>1264</v>
      </c>
    </row>
    <row r="147" spans="1:12">
      <c r="A147" t="s">
        <v>598</v>
      </c>
      <c r="B147">
        <v>42</v>
      </c>
      <c r="C147" t="s">
        <v>1118</v>
      </c>
      <c r="D147" t="s">
        <v>597</v>
      </c>
      <c r="E147">
        <f>VLOOKUP(A147,batch_design!$J$1:$L$315,2,0)</f>
        <v>42</v>
      </c>
      <c r="H147" t="s">
        <v>422</v>
      </c>
      <c r="I147">
        <v>52</v>
      </c>
      <c r="J147" t="s">
        <v>479</v>
      </c>
      <c r="K147" t="s">
        <v>421</v>
      </c>
      <c r="L147" t="s">
        <v>1265</v>
      </c>
    </row>
    <row r="148" spans="1:12">
      <c r="A148" t="s">
        <v>601</v>
      </c>
      <c r="B148">
        <v>38</v>
      </c>
      <c r="C148" t="s">
        <v>1118</v>
      </c>
      <c r="D148" t="s">
        <v>600</v>
      </c>
      <c r="E148">
        <f>VLOOKUP(A148,batch_design!$J$1:$L$315,2,0)</f>
        <v>38</v>
      </c>
      <c r="H148" t="s">
        <v>984</v>
      </c>
      <c r="I148">
        <v>48</v>
      </c>
      <c r="J148" t="s">
        <v>1129</v>
      </c>
      <c r="K148" t="s">
        <v>983</v>
      </c>
      <c r="L148" t="s">
        <v>1266</v>
      </c>
    </row>
    <row r="149" spans="1:12">
      <c r="A149" t="s">
        <v>604</v>
      </c>
      <c r="B149">
        <v>39</v>
      </c>
      <c r="C149" t="s">
        <v>1118</v>
      </c>
      <c r="D149" t="s">
        <v>603</v>
      </c>
      <c r="E149">
        <f>VLOOKUP(A149,batch_design!$J$1:$L$315,2,0)</f>
        <v>39</v>
      </c>
      <c r="H149" t="s">
        <v>1049</v>
      </c>
      <c r="I149">
        <v>25</v>
      </c>
      <c r="J149" t="s">
        <v>1129</v>
      </c>
      <c r="K149" t="s">
        <v>1048</v>
      </c>
      <c r="L149" t="s">
        <v>1267</v>
      </c>
    </row>
    <row r="150" spans="1:12">
      <c r="A150" t="s">
        <v>607</v>
      </c>
      <c r="B150">
        <v>28</v>
      </c>
      <c r="C150" t="s">
        <v>1118</v>
      </c>
      <c r="D150" t="s">
        <v>606</v>
      </c>
      <c r="E150">
        <f>VLOOKUP(A150,batch_design!$J$1:$L$315,2,0)</f>
        <v>28</v>
      </c>
      <c r="H150" t="s">
        <v>595</v>
      </c>
      <c r="I150">
        <v>46</v>
      </c>
      <c r="J150" t="s">
        <v>1118</v>
      </c>
      <c r="K150" t="s">
        <v>594</v>
      </c>
      <c r="L150" t="s">
        <v>1268</v>
      </c>
    </row>
    <row r="151" spans="1:12">
      <c r="A151" t="s">
        <v>610</v>
      </c>
      <c r="B151">
        <v>48</v>
      </c>
      <c r="C151" t="s">
        <v>1118</v>
      </c>
      <c r="D151" t="s">
        <v>609</v>
      </c>
      <c r="E151">
        <f>VLOOKUP(A151,batch_design!$J$1:$L$315,2,0)</f>
        <v>48</v>
      </c>
      <c r="H151" t="s">
        <v>343</v>
      </c>
      <c r="I151">
        <v>59</v>
      </c>
      <c r="J151" t="s">
        <v>479</v>
      </c>
      <c r="K151" t="s">
        <v>342</v>
      </c>
      <c r="L151" t="s">
        <v>1269</v>
      </c>
    </row>
    <row r="152" spans="1:12">
      <c r="A152" t="s">
        <v>613</v>
      </c>
      <c r="B152">
        <v>33</v>
      </c>
      <c r="C152" t="s">
        <v>1118</v>
      </c>
      <c r="D152" t="s">
        <v>611</v>
      </c>
      <c r="E152">
        <f>VLOOKUP(A152,batch_design!$J$1:$L$315,2,0)</f>
        <v>33</v>
      </c>
      <c r="H152" t="s">
        <v>686</v>
      </c>
      <c r="I152">
        <v>47</v>
      </c>
      <c r="J152" t="s">
        <v>1118</v>
      </c>
      <c r="K152" t="s">
        <v>685</v>
      </c>
      <c r="L152" t="s">
        <v>1270</v>
      </c>
    </row>
    <row r="153" spans="1:12">
      <c r="A153" t="s">
        <v>616</v>
      </c>
      <c r="B153">
        <v>53</v>
      </c>
      <c r="C153" t="s">
        <v>1118</v>
      </c>
      <c r="D153" t="s">
        <v>615</v>
      </c>
      <c r="E153">
        <f>VLOOKUP(A153,batch_design!$J$1:$L$315,2,0)</f>
        <v>53</v>
      </c>
      <c r="H153" t="s">
        <v>601</v>
      </c>
      <c r="I153">
        <v>38</v>
      </c>
      <c r="J153" t="s">
        <v>1118</v>
      </c>
      <c r="K153" t="s">
        <v>600</v>
      </c>
      <c r="L153" t="s">
        <v>1271</v>
      </c>
    </row>
    <row r="154" spans="1:12">
      <c r="A154" t="s">
        <v>619</v>
      </c>
      <c r="B154">
        <v>24</v>
      </c>
      <c r="C154" t="s">
        <v>1118</v>
      </c>
      <c r="D154" t="s">
        <v>618</v>
      </c>
      <c r="E154">
        <f>VLOOKUP(A154,batch_design!$J$1:$L$315,2,0)</f>
        <v>24</v>
      </c>
      <c r="H154" t="s">
        <v>933</v>
      </c>
      <c r="I154">
        <v>29</v>
      </c>
      <c r="J154" t="s">
        <v>1129</v>
      </c>
      <c r="K154" t="s">
        <v>932</v>
      </c>
      <c r="L154" t="s">
        <v>1272</v>
      </c>
    </row>
    <row r="155" spans="1:12">
      <c r="A155" t="s">
        <v>622</v>
      </c>
      <c r="B155">
        <v>41</v>
      </c>
      <c r="C155" t="s">
        <v>1118</v>
      </c>
      <c r="D155" t="s">
        <v>621</v>
      </c>
      <c r="E155">
        <f>VLOOKUP(A155,batch_design!$J$1:$L$315,2,0)</f>
        <v>41</v>
      </c>
      <c r="H155" t="s">
        <v>46</v>
      </c>
      <c r="I155">
        <v>53</v>
      </c>
      <c r="J155" t="s">
        <v>489</v>
      </c>
      <c r="K155" t="s">
        <v>44</v>
      </c>
      <c r="L155" t="s">
        <v>1273</v>
      </c>
    </row>
    <row r="156" spans="1:12">
      <c r="A156" t="s">
        <v>625</v>
      </c>
      <c r="B156">
        <v>35</v>
      </c>
      <c r="C156" t="s">
        <v>1118</v>
      </c>
      <c r="D156" t="s">
        <v>624</v>
      </c>
      <c r="E156">
        <f>VLOOKUP(A156,batch_design!$J$1:$L$315,2,0)</f>
        <v>35</v>
      </c>
      <c r="H156" t="s">
        <v>578</v>
      </c>
      <c r="I156">
        <v>58</v>
      </c>
      <c r="J156" t="s">
        <v>1118</v>
      </c>
      <c r="K156" t="s">
        <v>577</v>
      </c>
      <c r="L156" t="s">
        <v>1274</v>
      </c>
    </row>
    <row r="157" spans="1:12">
      <c r="A157" t="s">
        <v>628</v>
      </c>
      <c r="B157">
        <v>52</v>
      </c>
      <c r="C157" t="s">
        <v>1118</v>
      </c>
      <c r="D157" t="s">
        <v>627</v>
      </c>
      <c r="E157">
        <f>VLOOKUP(A157,batch_design!$J$1:$L$315,2,0)</f>
        <v>52</v>
      </c>
      <c r="H157" t="s">
        <v>523</v>
      </c>
      <c r="I157">
        <v>40</v>
      </c>
      <c r="J157" t="s">
        <v>1118</v>
      </c>
      <c r="K157" t="s">
        <v>522</v>
      </c>
      <c r="L157" t="s">
        <v>1275</v>
      </c>
    </row>
    <row r="158" spans="1:12">
      <c r="A158" t="s">
        <v>631</v>
      </c>
      <c r="B158">
        <v>41</v>
      </c>
      <c r="C158" t="s">
        <v>1118</v>
      </c>
      <c r="D158" t="s">
        <v>630</v>
      </c>
      <c r="E158">
        <f>VLOOKUP(A158,batch_design!$J$1:$L$315,2,0)</f>
        <v>41</v>
      </c>
      <c r="H158" t="s">
        <v>474</v>
      </c>
      <c r="I158">
        <v>60</v>
      </c>
      <c r="J158" t="s">
        <v>479</v>
      </c>
      <c r="K158" t="s">
        <v>473</v>
      </c>
      <c r="L158" t="s">
        <v>1276</v>
      </c>
    </row>
    <row r="159" spans="1:12">
      <c r="A159" t="s">
        <v>634</v>
      </c>
      <c r="B159">
        <v>44</v>
      </c>
      <c r="C159" t="s">
        <v>1118</v>
      </c>
      <c r="D159" t="s">
        <v>633</v>
      </c>
      <c r="E159">
        <f>VLOOKUP(A159,batch_design!$J$1:$L$315,2,0)</f>
        <v>44</v>
      </c>
      <c r="H159" t="s">
        <v>339</v>
      </c>
      <c r="I159">
        <v>41</v>
      </c>
      <c r="J159" t="s">
        <v>479</v>
      </c>
      <c r="K159" t="s">
        <v>338</v>
      </c>
      <c r="L159" t="s">
        <v>1277</v>
      </c>
    </row>
    <row r="160" spans="1:12">
      <c r="A160" t="s">
        <v>637</v>
      </c>
      <c r="B160">
        <v>40</v>
      </c>
      <c r="C160" t="s">
        <v>1118</v>
      </c>
      <c r="D160" t="s">
        <v>636</v>
      </c>
      <c r="E160">
        <f>VLOOKUP(A160,batch_design!$J$1:$L$315,2,0)</f>
        <v>40</v>
      </c>
      <c r="H160" t="s">
        <v>191</v>
      </c>
      <c r="I160">
        <v>50</v>
      </c>
      <c r="J160" t="s">
        <v>1771</v>
      </c>
      <c r="K160" t="s">
        <v>190</v>
      </c>
      <c r="L160" t="s">
        <v>1278</v>
      </c>
    </row>
    <row r="161" spans="1:12">
      <c r="A161" t="s">
        <v>640</v>
      </c>
      <c r="B161">
        <v>35</v>
      </c>
      <c r="C161" t="s">
        <v>1118</v>
      </c>
      <c r="D161" t="s">
        <v>639</v>
      </c>
      <c r="E161">
        <f>VLOOKUP(A161,batch_design!$J$1:$L$315,2,0)</f>
        <v>35</v>
      </c>
      <c r="H161" t="s">
        <v>383</v>
      </c>
      <c r="I161">
        <v>57</v>
      </c>
      <c r="J161" t="s">
        <v>499</v>
      </c>
      <c r="K161" t="s">
        <v>382</v>
      </c>
      <c r="L161" t="s">
        <v>1279</v>
      </c>
    </row>
    <row r="162" spans="1:12">
      <c r="A162" t="s">
        <v>643</v>
      </c>
      <c r="B162">
        <v>20</v>
      </c>
      <c r="C162" t="s">
        <v>1118</v>
      </c>
      <c r="D162" t="s">
        <v>642</v>
      </c>
      <c r="E162">
        <f>VLOOKUP(A162,batch_design!$J$1:$L$315,2,0)</f>
        <v>20</v>
      </c>
      <c r="H162" t="s">
        <v>774</v>
      </c>
      <c r="I162">
        <v>20</v>
      </c>
      <c r="J162" t="s">
        <v>1118</v>
      </c>
      <c r="K162" t="s">
        <v>773</v>
      </c>
      <c r="L162" t="s">
        <v>1280</v>
      </c>
    </row>
    <row r="163" spans="1:12">
      <c r="A163" t="s">
        <v>646</v>
      </c>
      <c r="B163">
        <v>33</v>
      </c>
      <c r="C163" t="s">
        <v>1118</v>
      </c>
      <c r="D163" t="s">
        <v>645</v>
      </c>
      <c r="E163">
        <f>VLOOKUP(A163,batch_design!$J$1:$L$315,2,0)</f>
        <v>33</v>
      </c>
      <c r="H163" t="s">
        <v>119</v>
      </c>
      <c r="I163">
        <v>69</v>
      </c>
      <c r="J163" t="s">
        <v>479</v>
      </c>
      <c r="K163" t="s">
        <v>118</v>
      </c>
      <c r="L163" t="s">
        <v>1281</v>
      </c>
    </row>
    <row r="164" spans="1:12">
      <c r="A164" t="s">
        <v>649</v>
      </c>
      <c r="B164">
        <v>46</v>
      </c>
      <c r="C164" t="s">
        <v>1118</v>
      </c>
      <c r="D164" t="s">
        <v>648</v>
      </c>
      <c r="E164">
        <f>VLOOKUP(A164,batch_design!$J$1:$L$315,2,0)</f>
        <v>46</v>
      </c>
      <c r="H164" t="s">
        <v>151</v>
      </c>
      <c r="I164">
        <v>25</v>
      </c>
      <c r="J164" s="20" t="s">
        <v>1774</v>
      </c>
      <c r="K164" t="s">
        <v>150</v>
      </c>
      <c r="L164" t="s">
        <v>1282</v>
      </c>
    </row>
    <row r="165" spans="1:12">
      <c r="A165" t="s">
        <v>652</v>
      </c>
      <c r="B165">
        <v>43</v>
      </c>
      <c r="C165" t="s">
        <v>1118</v>
      </c>
      <c r="D165" t="s">
        <v>651</v>
      </c>
      <c r="E165">
        <f>VLOOKUP(A165,batch_design!$J$1:$L$315,2,0)</f>
        <v>43</v>
      </c>
      <c r="H165" t="s">
        <v>999</v>
      </c>
      <c r="I165">
        <v>45</v>
      </c>
      <c r="J165" t="s">
        <v>1129</v>
      </c>
      <c r="K165" t="s">
        <v>998</v>
      </c>
      <c r="L165" t="s">
        <v>1283</v>
      </c>
    </row>
    <row r="166" spans="1:12">
      <c r="A166" t="s">
        <v>655</v>
      </c>
      <c r="B166">
        <v>34</v>
      </c>
      <c r="C166" t="s">
        <v>1118</v>
      </c>
      <c r="D166" t="s">
        <v>654</v>
      </c>
      <c r="E166">
        <f>VLOOKUP(A166,batch_design!$J$1:$L$315,2,0)</f>
        <v>34</v>
      </c>
      <c r="H166" t="s">
        <v>1091</v>
      </c>
      <c r="I166">
        <v>29</v>
      </c>
      <c r="J166" t="s">
        <v>1129</v>
      </c>
      <c r="K166" t="s">
        <v>1090</v>
      </c>
      <c r="L166" t="s">
        <v>1284</v>
      </c>
    </row>
    <row r="167" spans="1:12">
      <c r="A167" t="s">
        <v>658</v>
      </c>
      <c r="B167">
        <v>34</v>
      </c>
      <c r="C167" t="s">
        <v>1118</v>
      </c>
      <c r="D167" t="s">
        <v>657</v>
      </c>
      <c r="E167">
        <f>VLOOKUP(A167,batch_design!$J$1:$L$315,2,0)</f>
        <v>34</v>
      </c>
      <c r="H167" t="s">
        <v>446</v>
      </c>
      <c r="I167">
        <v>48</v>
      </c>
      <c r="J167" t="s">
        <v>479</v>
      </c>
      <c r="K167" t="s">
        <v>445</v>
      </c>
      <c r="L167" t="s">
        <v>1285</v>
      </c>
    </row>
    <row r="168" spans="1:12">
      <c r="A168" t="s">
        <v>661</v>
      </c>
      <c r="B168">
        <v>39</v>
      </c>
      <c r="C168" t="s">
        <v>1118</v>
      </c>
      <c r="D168" t="s">
        <v>660</v>
      </c>
      <c r="E168">
        <f>VLOOKUP(A168,batch_design!$J$1:$L$315,2,0)</f>
        <v>39</v>
      </c>
      <c r="H168" t="s">
        <v>267</v>
      </c>
      <c r="I168">
        <v>32</v>
      </c>
      <c r="J168" t="s">
        <v>1771</v>
      </c>
      <c r="K168" t="s">
        <v>266</v>
      </c>
      <c r="L168" t="s">
        <v>1286</v>
      </c>
    </row>
    <row r="169" spans="1:12">
      <c r="A169" t="s">
        <v>664</v>
      </c>
      <c r="B169">
        <v>26</v>
      </c>
      <c r="C169" t="s">
        <v>1118</v>
      </c>
      <c r="D169" t="s">
        <v>663</v>
      </c>
      <c r="E169">
        <f>VLOOKUP(A169,batch_design!$J$1:$L$315,2,0)</f>
        <v>26</v>
      </c>
      <c r="H169" t="s">
        <v>942</v>
      </c>
      <c r="I169">
        <v>31</v>
      </c>
      <c r="J169" t="s">
        <v>1129</v>
      </c>
      <c r="K169" t="s">
        <v>941</v>
      </c>
      <c r="L169" t="s">
        <v>1287</v>
      </c>
    </row>
    <row r="170" spans="1:12">
      <c r="A170" t="s">
        <v>667</v>
      </c>
      <c r="B170">
        <v>38</v>
      </c>
      <c r="C170" t="s">
        <v>1118</v>
      </c>
      <c r="D170" t="s">
        <v>666</v>
      </c>
      <c r="E170">
        <f>VLOOKUP(A170,batch_design!$J$1:$L$315,2,0)</f>
        <v>38</v>
      </c>
      <c r="H170" t="s">
        <v>616</v>
      </c>
      <c r="I170">
        <v>53</v>
      </c>
      <c r="J170" t="s">
        <v>1118</v>
      </c>
      <c r="K170" t="s">
        <v>615</v>
      </c>
      <c r="L170" t="s">
        <v>1288</v>
      </c>
    </row>
    <row r="171" spans="1:12">
      <c r="A171" t="s">
        <v>670</v>
      </c>
      <c r="B171">
        <v>46</v>
      </c>
      <c r="C171" t="s">
        <v>1118</v>
      </c>
      <c r="D171" t="s">
        <v>669</v>
      </c>
      <c r="E171">
        <f>VLOOKUP(A171,batch_design!$J$1:$L$315,2,0)</f>
        <v>46</v>
      </c>
      <c r="H171" t="s">
        <v>789</v>
      </c>
      <c r="I171">
        <v>43</v>
      </c>
      <c r="J171" t="s">
        <v>1118</v>
      </c>
      <c r="K171" t="s">
        <v>788</v>
      </c>
      <c r="L171" t="s">
        <v>1289</v>
      </c>
    </row>
    <row r="172" spans="1:12">
      <c r="A172" t="s">
        <v>674</v>
      </c>
      <c r="B172">
        <v>36</v>
      </c>
      <c r="C172" t="s">
        <v>1118</v>
      </c>
      <c r="D172" t="s">
        <v>672</v>
      </c>
      <c r="E172">
        <f>VLOOKUP(A172,batch_design!$J$1:$L$315,2,0)</f>
        <v>36</v>
      </c>
      <c r="H172" t="s">
        <v>399</v>
      </c>
      <c r="I172">
        <v>59</v>
      </c>
      <c r="J172" t="s">
        <v>479</v>
      </c>
      <c r="K172" t="s">
        <v>398</v>
      </c>
      <c r="L172" t="s">
        <v>1290</v>
      </c>
    </row>
    <row r="173" spans="1:12">
      <c r="A173" t="s">
        <v>677</v>
      </c>
      <c r="B173">
        <v>30</v>
      </c>
      <c r="C173" t="s">
        <v>1118</v>
      </c>
      <c r="D173" t="s">
        <v>676</v>
      </c>
      <c r="E173">
        <f>VLOOKUP(A173,batch_design!$J$1:$L$315,2,0)</f>
        <v>30</v>
      </c>
      <c r="H173" t="s">
        <v>771</v>
      </c>
      <c r="I173">
        <v>47</v>
      </c>
      <c r="J173" t="s">
        <v>1118</v>
      </c>
      <c r="K173" t="s">
        <v>770</v>
      </c>
      <c r="L173" t="s">
        <v>1291</v>
      </c>
    </row>
    <row r="174" spans="1:12">
      <c r="A174" t="s">
        <v>680</v>
      </c>
      <c r="B174">
        <v>21</v>
      </c>
      <c r="C174" t="s">
        <v>1118</v>
      </c>
      <c r="D174" t="s">
        <v>679</v>
      </c>
      <c r="E174">
        <f>VLOOKUP(A174,batch_design!$J$1:$L$315,2,0)</f>
        <v>21</v>
      </c>
      <c r="H174" t="s">
        <v>734</v>
      </c>
      <c r="I174">
        <v>26</v>
      </c>
      <c r="J174" t="s">
        <v>1118</v>
      </c>
      <c r="K174" t="s">
        <v>733</v>
      </c>
      <c r="L174" t="s">
        <v>1292</v>
      </c>
    </row>
    <row r="175" spans="1:12">
      <c r="A175" t="s">
        <v>683</v>
      </c>
      <c r="B175">
        <v>36</v>
      </c>
      <c r="C175" t="s">
        <v>1118</v>
      </c>
      <c r="D175" t="s">
        <v>682</v>
      </c>
      <c r="E175">
        <f>VLOOKUP(A175,batch_design!$J$1:$L$315,2,0)</f>
        <v>36</v>
      </c>
      <c r="H175" t="s">
        <v>993</v>
      </c>
      <c r="I175">
        <v>81</v>
      </c>
      <c r="J175" t="s">
        <v>1129</v>
      </c>
      <c r="K175" t="s">
        <v>992</v>
      </c>
      <c r="L175" t="s">
        <v>1293</v>
      </c>
    </row>
    <row r="176" spans="1:12">
      <c r="A176" t="s">
        <v>686</v>
      </c>
      <c r="B176">
        <v>47</v>
      </c>
      <c r="C176" t="s">
        <v>1118</v>
      </c>
      <c r="D176" t="s">
        <v>685</v>
      </c>
      <c r="E176">
        <f>VLOOKUP(A176,batch_design!$J$1:$L$315,2,0)</f>
        <v>47</v>
      </c>
      <c r="H176" t="s">
        <v>930</v>
      </c>
      <c r="I176">
        <v>27</v>
      </c>
      <c r="J176" t="s">
        <v>1129</v>
      </c>
      <c r="K176" t="s">
        <v>929</v>
      </c>
      <c r="L176" t="s">
        <v>1294</v>
      </c>
    </row>
    <row r="177" spans="1:12">
      <c r="A177" t="s">
        <v>689</v>
      </c>
      <c r="B177">
        <v>26</v>
      </c>
      <c r="C177" t="s">
        <v>1118</v>
      </c>
      <c r="D177" t="s">
        <v>688</v>
      </c>
      <c r="E177">
        <f>VLOOKUP(A177,batch_design!$J$1:$L$315,2,0)</f>
        <v>26</v>
      </c>
      <c r="H177" t="s">
        <v>464</v>
      </c>
      <c r="I177">
        <v>71</v>
      </c>
      <c r="J177" t="s">
        <v>479</v>
      </c>
      <c r="K177" t="s">
        <v>463</v>
      </c>
      <c r="L177" t="s">
        <v>1295</v>
      </c>
    </row>
    <row r="178" spans="1:12">
      <c r="A178" t="s">
        <v>692</v>
      </c>
      <c r="B178">
        <v>27</v>
      </c>
      <c r="C178" t="s">
        <v>1118</v>
      </c>
      <c r="D178" t="s">
        <v>691</v>
      </c>
      <c r="E178">
        <f>VLOOKUP(A178,batch_design!$J$1:$L$315,2,0)</f>
        <v>27</v>
      </c>
      <c r="H178" t="s">
        <v>1043</v>
      </c>
      <c r="I178">
        <v>39</v>
      </c>
      <c r="J178" t="s">
        <v>1129</v>
      </c>
      <c r="K178" t="s">
        <v>1042</v>
      </c>
      <c r="L178" t="s">
        <v>1296</v>
      </c>
    </row>
    <row r="179" spans="1:12">
      <c r="A179" t="s">
        <v>695</v>
      </c>
      <c r="B179">
        <v>23</v>
      </c>
      <c r="C179" t="s">
        <v>1118</v>
      </c>
      <c r="D179" t="s">
        <v>694</v>
      </c>
      <c r="E179">
        <f>VLOOKUP(A179,batch_design!$J$1:$L$315,2,0)</f>
        <v>23</v>
      </c>
      <c r="H179" t="s">
        <v>155</v>
      </c>
      <c r="I179">
        <v>28</v>
      </c>
      <c r="J179" s="20" t="s">
        <v>1774</v>
      </c>
      <c r="K179" t="s">
        <v>154</v>
      </c>
      <c r="L179" t="s">
        <v>1297</v>
      </c>
    </row>
    <row r="180" spans="1:12">
      <c r="A180" t="s">
        <v>698</v>
      </c>
      <c r="B180">
        <v>32</v>
      </c>
      <c r="C180" t="s">
        <v>1118</v>
      </c>
      <c r="D180" t="s">
        <v>697</v>
      </c>
      <c r="E180">
        <f>VLOOKUP(A180,batch_design!$J$1:$L$315,2,0)</f>
        <v>32</v>
      </c>
      <c r="H180" t="s">
        <v>135</v>
      </c>
      <c r="I180">
        <v>14</v>
      </c>
      <c r="J180" t="s">
        <v>483</v>
      </c>
      <c r="K180" t="s">
        <v>134</v>
      </c>
      <c r="L180" t="s">
        <v>1298</v>
      </c>
    </row>
    <row r="181" spans="1:12">
      <c r="A181" t="s">
        <v>701</v>
      </c>
      <c r="B181">
        <v>27</v>
      </c>
      <c r="C181" t="s">
        <v>1118</v>
      </c>
      <c r="D181" t="s">
        <v>700</v>
      </c>
      <c r="E181" t="e">
        <f>VLOOKUP(A181,batch_design!$J$1:$L$315,2,0)</f>
        <v>#N/A</v>
      </c>
      <c r="H181" t="s">
        <v>912</v>
      </c>
      <c r="I181">
        <v>27</v>
      </c>
      <c r="J181" t="s">
        <v>1129</v>
      </c>
      <c r="K181" t="s">
        <v>911</v>
      </c>
      <c r="L181" t="s">
        <v>1299</v>
      </c>
    </row>
    <row r="182" spans="1:12">
      <c r="A182" t="s">
        <v>704</v>
      </c>
      <c r="B182">
        <v>33</v>
      </c>
      <c r="C182" t="s">
        <v>1118</v>
      </c>
      <c r="D182" t="s">
        <v>703</v>
      </c>
      <c r="E182">
        <f>VLOOKUP(A182,batch_design!$J$1:$L$315,2,0)</f>
        <v>33</v>
      </c>
      <c r="H182" t="s">
        <v>127</v>
      </c>
      <c r="I182">
        <v>40</v>
      </c>
      <c r="J182" t="s">
        <v>497</v>
      </c>
      <c r="K182" t="s">
        <v>126</v>
      </c>
      <c r="L182" t="s">
        <v>1300</v>
      </c>
    </row>
    <row r="183" spans="1:12">
      <c r="A183" t="s">
        <v>707</v>
      </c>
      <c r="B183">
        <v>37</v>
      </c>
      <c r="C183" t="s">
        <v>1118</v>
      </c>
      <c r="D183" t="s">
        <v>706</v>
      </c>
      <c r="E183">
        <f>VLOOKUP(A183,batch_design!$J$1:$L$315,2,0)</f>
        <v>37</v>
      </c>
      <c r="H183" t="s">
        <v>355</v>
      </c>
      <c r="I183">
        <v>67</v>
      </c>
      <c r="J183" s="20" t="s">
        <v>1778</v>
      </c>
      <c r="K183" t="s">
        <v>354</v>
      </c>
      <c r="L183" t="s">
        <v>1301</v>
      </c>
    </row>
    <row r="184" spans="1:12">
      <c r="A184" t="s">
        <v>710</v>
      </c>
      <c r="B184">
        <v>47</v>
      </c>
      <c r="C184" t="s">
        <v>1118</v>
      </c>
      <c r="D184" t="s">
        <v>709</v>
      </c>
      <c r="E184">
        <f>VLOOKUP(A184,batch_design!$J$1:$L$315,2,0)</f>
        <v>47</v>
      </c>
      <c r="H184" t="s">
        <v>658</v>
      </c>
      <c r="I184">
        <v>34</v>
      </c>
      <c r="J184" t="s">
        <v>1118</v>
      </c>
      <c r="K184" t="s">
        <v>657</v>
      </c>
      <c r="L184" t="s">
        <v>1302</v>
      </c>
    </row>
    <row r="185" spans="1:12">
      <c r="A185" t="s">
        <v>713</v>
      </c>
      <c r="B185">
        <v>31</v>
      </c>
      <c r="C185" t="s">
        <v>1118</v>
      </c>
      <c r="D185" t="s">
        <v>712</v>
      </c>
      <c r="E185">
        <f>VLOOKUP(A185,batch_design!$J$1:$L$315,2,0)</f>
        <v>31</v>
      </c>
      <c r="H185" t="s">
        <v>649</v>
      </c>
      <c r="I185">
        <v>46</v>
      </c>
      <c r="J185" t="s">
        <v>1118</v>
      </c>
      <c r="K185" t="s">
        <v>648</v>
      </c>
      <c r="L185" t="s">
        <v>1303</v>
      </c>
    </row>
    <row r="186" spans="1:12">
      <c r="A186" t="s">
        <v>716</v>
      </c>
      <c r="B186">
        <v>52</v>
      </c>
      <c r="C186" t="s">
        <v>1118</v>
      </c>
      <c r="D186" t="s">
        <v>715</v>
      </c>
      <c r="E186">
        <f>VLOOKUP(A186,batch_design!$J$1:$L$315,2,0)</f>
        <v>52</v>
      </c>
      <c r="H186" t="s">
        <v>954</v>
      </c>
      <c r="I186">
        <v>49</v>
      </c>
      <c r="J186" t="s">
        <v>1129</v>
      </c>
      <c r="K186" t="s">
        <v>953</v>
      </c>
      <c r="L186" t="s">
        <v>1304</v>
      </c>
    </row>
    <row r="187" spans="1:12">
      <c r="A187" t="s">
        <v>719</v>
      </c>
      <c r="B187">
        <v>26</v>
      </c>
      <c r="C187" t="s">
        <v>1118</v>
      </c>
      <c r="D187" t="s">
        <v>718</v>
      </c>
      <c r="E187">
        <f>VLOOKUP(A187,batch_design!$J$1:$L$315,2,0)</f>
        <v>26</v>
      </c>
      <c r="H187" t="s">
        <v>1061</v>
      </c>
      <c r="I187">
        <v>66</v>
      </c>
      <c r="J187" t="s">
        <v>1129</v>
      </c>
      <c r="K187" t="s">
        <v>1060</v>
      </c>
      <c r="L187" t="s">
        <v>1305</v>
      </c>
    </row>
    <row r="188" spans="1:12">
      <c r="A188" t="s">
        <v>722</v>
      </c>
      <c r="B188">
        <v>38</v>
      </c>
      <c r="C188" t="s">
        <v>1118</v>
      </c>
      <c r="D188" t="s">
        <v>721</v>
      </c>
      <c r="E188">
        <f>VLOOKUP(A188,batch_design!$J$1:$L$315,2,0)</f>
        <v>38</v>
      </c>
      <c r="H188" t="s">
        <v>51</v>
      </c>
      <c r="I188">
        <v>50</v>
      </c>
      <c r="J188" t="s">
        <v>479</v>
      </c>
      <c r="K188" t="s">
        <v>49</v>
      </c>
      <c r="L188" t="s">
        <v>1306</v>
      </c>
    </row>
    <row r="189" spans="1:12">
      <c r="A189" t="s">
        <v>725</v>
      </c>
      <c r="B189">
        <v>31</v>
      </c>
      <c r="C189" t="s">
        <v>1118</v>
      </c>
      <c r="D189" t="s">
        <v>724</v>
      </c>
      <c r="E189">
        <f>VLOOKUP(A189,batch_design!$J$1:$L$315,2,0)</f>
        <v>31</v>
      </c>
      <c r="H189" t="s">
        <v>716</v>
      </c>
      <c r="I189">
        <v>52</v>
      </c>
      <c r="J189" t="s">
        <v>1118</v>
      </c>
      <c r="K189" t="s">
        <v>715</v>
      </c>
      <c r="L189" t="s">
        <v>1307</v>
      </c>
    </row>
    <row r="190" spans="1:12">
      <c r="A190" t="s">
        <v>728</v>
      </c>
      <c r="B190">
        <v>31</v>
      </c>
      <c r="C190" t="s">
        <v>1118</v>
      </c>
      <c r="D190" t="s">
        <v>727</v>
      </c>
      <c r="E190">
        <f>VLOOKUP(A190,batch_design!$J$1:$L$315,2,0)</f>
        <v>31</v>
      </c>
      <c r="H190" t="s">
        <v>407</v>
      </c>
      <c r="I190">
        <v>77</v>
      </c>
      <c r="J190" t="s">
        <v>479</v>
      </c>
      <c r="K190" t="s">
        <v>406</v>
      </c>
      <c r="L190" t="s">
        <v>1308</v>
      </c>
    </row>
    <row r="191" spans="1:12">
      <c r="A191" t="s">
        <v>731</v>
      </c>
      <c r="B191">
        <v>24</v>
      </c>
      <c r="C191" t="s">
        <v>1118</v>
      </c>
      <c r="D191" t="s">
        <v>730</v>
      </c>
      <c r="E191">
        <f>VLOOKUP(A191,batch_design!$J$1:$L$315,2,0)</f>
        <v>24</v>
      </c>
      <c r="H191" t="s">
        <v>548</v>
      </c>
      <c r="I191">
        <v>26</v>
      </c>
      <c r="J191" t="s">
        <v>1118</v>
      </c>
      <c r="K191" t="s">
        <v>547</v>
      </c>
      <c r="L191" t="s">
        <v>1309</v>
      </c>
    </row>
    <row r="192" spans="1:12">
      <c r="A192" t="s">
        <v>734</v>
      </c>
      <c r="B192">
        <v>26</v>
      </c>
      <c r="C192" t="s">
        <v>1118</v>
      </c>
      <c r="D192" t="s">
        <v>733</v>
      </c>
      <c r="E192">
        <f>VLOOKUP(A192,batch_design!$J$1:$L$315,2,0)</f>
        <v>26</v>
      </c>
      <c r="H192" t="s">
        <v>698</v>
      </c>
      <c r="I192">
        <v>32</v>
      </c>
      <c r="J192" t="s">
        <v>1118</v>
      </c>
      <c r="K192" t="s">
        <v>697</v>
      </c>
      <c r="L192" t="s">
        <v>1310</v>
      </c>
    </row>
    <row r="193" spans="1:12">
      <c r="A193" t="s">
        <v>737</v>
      </c>
      <c r="B193">
        <v>35</v>
      </c>
      <c r="C193" t="s">
        <v>1118</v>
      </c>
      <c r="D193" t="s">
        <v>736</v>
      </c>
      <c r="E193">
        <f>VLOOKUP(A193,batch_design!$J$1:$L$315,2,0)</f>
        <v>35</v>
      </c>
      <c r="H193" t="s">
        <v>450</v>
      </c>
      <c r="I193">
        <v>69</v>
      </c>
      <c r="J193" t="s">
        <v>479</v>
      </c>
      <c r="K193" t="s">
        <v>449</v>
      </c>
      <c r="L193" t="s">
        <v>1311</v>
      </c>
    </row>
    <row r="194" spans="1:12">
      <c r="A194" t="s">
        <v>740</v>
      </c>
      <c r="B194">
        <v>31</v>
      </c>
      <c r="C194" t="s">
        <v>1118</v>
      </c>
      <c r="D194" t="s">
        <v>739</v>
      </c>
      <c r="E194">
        <f>VLOOKUP(A194,batch_design!$J$1:$L$315,2,0)</f>
        <v>31</v>
      </c>
      <c r="H194" t="s">
        <v>793</v>
      </c>
      <c r="I194">
        <v>34</v>
      </c>
      <c r="J194" t="s">
        <v>1118</v>
      </c>
      <c r="K194" t="s">
        <v>792</v>
      </c>
      <c r="L194" t="s">
        <v>1312</v>
      </c>
    </row>
    <row r="195" spans="1:12">
      <c r="A195" t="s">
        <v>743</v>
      </c>
      <c r="B195">
        <v>28</v>
      </c>
      <c r="C195" t="s">
        <v>1118</v>
      </c>
      <c r="D195" t="s">
        <v>742</v>
      </c>
      <c r="E195">
        <f>VLOOKUP(A195,batch_design!$J$1:$L$315,2,0)</f>
        <v>28</v>
      </c>
      <c r="H195" t="s">
        <v>315</v>
      </c>
      <c r="I195">
        <v>50</v>
      </c>
      <c r="J195" s="20" t="s">
        <v>1778</v>
      </c>
      <c r="K195" t="s">
        <v>314</v>
      </c>
      <c r="L195" t="s">
        <v>1313</v>
      </c>
    </row>
    <row r="196" spans="1:12">
      <c r="A196" t="s">
        <v>746</v>
      </c>
      <c r="B196">
        <v>48</v>
      </c>
      <c r="C196" t="s">
        <v>1118</v>
      </c>
      <c r="D196" t="s">
        <v>745</v>
      </c>
      <c r="E196">
        <f>VLOOKUP(A196,batch_design!$J$1:$L$315,2,0)</f>
        <v>48</v>
      </c>
      <c r="H196" t="s">
        <v>411</v>
      </c>
      <c r="I196">
        <v>56</v>
      </c>
      <c r="J196" t="s">
        <v>479</v>
      </c>
      <c r="K196" t="s">
        <v>410</v>
      </c>
      <c r="L196" t="s">
        <v>1314</v>
      </c>
    </row>
    <row r="197" spans="1:12">
      <c r="A197" t="s">
        <v>749</v>
      </c>
      <c r="B197">
        <v>31</v>
      </c>
      <c r="C197" t="s">
        <v>1118</v>
      </c>
      <c r="D197" t="s">
        <v>748</v>
      </c>
      <c r="E197">
        <f>VLOOKUP(A197,batch_design!$J$1:$L$315,2,0)</f>
        <v>31</v>
      </c>
      <c r="H197" t="s">
        <v>936</v>
      </c>
      <c r="I197">
        <v>23</v>
      </c>
      <c r="J197" t="s">
        <v>1129</v>
      </c>
      <c r="K197" t="s">
        <v>935</v>
      </c>
      <c r="L197" t="s">
        <v>1315</v>
      </c>
    </row>
    <row r="198" spans="1:12">
      <c r="A198" t="s">
        <v>752</v>
      </c>
      <c r="B198">
        <v>41</v>
      </c>
      <c r="C198" t="s">
        <v>1118</v>
      </c>
      <c r="D198" t="s">
        <v>751</v>
      </c>
      <c r="E198">
        <f>VLOOKUP(A198,batch_design!$J$1:$L$315,2,0)</f>
        <v>41</v>
      </c>
      <c r="H198" t="s">
        <v>927</v>
      </c>
      <c r="I198">
        <v>40</v>
      </c>
      <c r="J198" t="s">
        <v>1129</v>
      </c>
      <c r="K198" t="s">
        <v>926</v>
      </c>
      <c r="L198" t="s">
        <v>1316</v>
      </c>
    </row>
    <row r="199" spans="1:12">
      <c r="A199" t="s">
        <v>755</v>
      </c>
      <c r="B199">
        <v>25</v>
      </c>
      <c r="C199" t="s">
        <v>1118</v>
      </c>
      <c r="D199" t="s">
        <v>754</v>
      </c>
      <c r="E199">
        <f>VLOOKUP(A199,batch_design!$J$1:$L$315,2,0)</f>
        <v>25</v>
      </c>
      <c r="H199" t="s">
        <v>319</v>
      </c>
      <c r="I199">
        <v>36</v>
      </c>
      <c r="J199" t="s">
        <v>1771</v>
      </c>
      <c r="K199" t="s">
        <v>318</v>
      </c>
      <c r="L199" t="s">
        <v>1317</v>
      </c>
    </row>
    <row r="200" spans="1:12">
      <c r="A200" t="s">
        <v>758</v>
      </c>
      <c r="B200">
        <v>42</v>
      </c>
      <c r="C200" t="s">
        <v>1118</v>
      </c>
      <c r="D200" t="s">
        <v>757</v>
      </c>
      <c r="E200">
        <f>VLOOKUP(A200,batch_design!$J$1:$L$315,2,0)</f>
        <v>42</v>
      </c>
      <c r="H200" t="s">
        <v>551</v>
      </c>
      <c r="I200">
        <v>38</v>
      </c>
      <c r="J200" t="s">
        <v>1118</v>
      </c>
      <c r="K200" t="s">
        <v>550</v>
      </c>
      <c r="L200" t="s">
        <v>1318</v>
      </c>
    </row>
    <row r="201" spans="1:12">
      <c r="A201" t="s">
        <v>761</v>
      </c>
      <c r="B201">
        <v>44</v>
      </c>
      <c r="C201" t="s">
        <v>1118</v>
      </c>
      <c r="D201" t="s">
        <v>760</v>
      </c>
      <c r="E201">
        <f>VLOOKUP(A201,batch_design!$J$1:$L$315,2,0)</f>
        <v>44</v>
      </c>
      <c r="H201" t="s">
        <v>295</v>
      </c>
      <c r="I201">
        <v>51</v>
      </c>
      <c r="J201" t="s">
        <v>479</v>
      </c>
      <c r="K201" t="s">
        <v>294</v>
      </c>
      <c r="L201" t="s">
        <v>1319</v>
      </c>
    </row>
    <row r="202" spans="1:12">
      <c r="A202" t="s">
        <v>764</v>
      </c>
      <c r="B202">
        <v>45</v>
      </c>
      <c r="C202" t="s">
        <v>1118</v>
      </c>
      <c r="D202" t="s">
        <v>763</v>
      </c>
      <c r="E202">
        <f>VLOOKUP(A202,batch_design!$J$1:$L$315,2,0)</f>
        <v>45</v>
      </c>
      <c r="H202" t="s">
        <v>1052</v>
      </c>
      <c r="I202">
        <v>47</v>
      </c>
      <c r="J202" t="s">
        <v>1129</v>
      </c>
      <c r="K202" t="s">
        <v>1051</v>
      </c>
      <c r="L202" t="s">
        <v>1320</v>
      </c>
    </row>
    <row r="203" spans="1:12">
      <c r="A203" t="s">
        <v>768</v>
      </c>
      <c r="B203">
        <v>20</v>
      </c>
      <c r="C203" t="s">
        <v>1118</v>
      </c>
      <c r="D203" t="s">
        <v>766</v>
      </c>
      <c r="E203">
        <f>VLOOKUP(A203,batch_design!$J$1:$L$315,2,0)</f>
        <v>20</v>
      </c>
      <c r="H203" t="s">
        <v>713</v>
      </c>
      <c r="I203">
        <v>31</v>
      </c>
      <c r="J203" t="s">
        <v>1118</v>
      </c>
      <c r="K203" t="s">
        <v>712</v>
      </c>
      <c r="L203" t="s">
        <v>1321</v>
      </c>
    </row>
    <row r="204" spans="1:12">
      <c r="A204" t="s">
        <v>771</v>
      </c>
      <c r="B204">
        <v>47</v>
      </c>
      <c r="C204" t="s">
        <v>1118</v>
      </c>
      <c r="D204" t="s">
        <v>770</v>
      </c>
      <c r="E204">
        <f>VLOOKUP(A204,batch_design!$J$1:$L$315,2,0)</f>
        <v>47</v>
      </c>
      <c r="H204" t="s">
        <v>802</v>
      </c>
      <c r="I204">
        <v>28</v>
      </c>
      <c r="J204" t="s">
        <v>1118</v>
      </c>
      <c r="K204" t="s">
        <v>801</v>
      </c>
      <c r="L204" t="s">
        <v>1322</v>
      </c>
    </row>
    <row r="205" spans="1:12">
      <c r="A205" t="s">
        <v>774</v>
      </c>
      <c r="B205">
        <v>20</v>
      </c>
      <c r="C205" t="s">
        <v>1118</v>
      </c>
      <c r="D205" t="s">
        <v>773</v>
      </c>
      <c r="E205">
        <f>VLOOKUP(A205,batch_design!$J$1:$L$315,2,0)</f>
        <v>20</v>
      </c>
      <c r="H205" t="s">
        <v>11</v>
      </c>
      <c r="I205">
        <v>64</v>
      </c>
      <c r="J205" t="s">
        <v>479</v>
      </c>
      <c r="K205" t="s">
        <v>9</v>
      </c>
      <c r="L205" t="s">
        <v>1323</v>
      </c>
    </row>
    <row r="206" spans="1:12">
      <c r="A206" t="s">
        <v>777</v>
      </c>
      <c r="B206">
        <v>37</v>
      </c>
      <c r="C206" t="s">
        <v>1118</v>
      </c>
      <c r="D206" t="s">
        <v>776</v>
      </c>
      <c r="E206">
        <f>VLOOKUP(A206,batch_design!$J$1:$L$315,2,0)</f>
        <v>37</v>
      </c>
      <c r="H206" t="s">
        <v>820</v>
      </c>
      <c r="I206">
        <v>21</v>
      </c>
      <c r="J206" t="s">
        <v>1118</v>
      </c>
      <c r="K206" t="s">
        <v>819</v>
      </c>
      <c r="L206" t="s">
        <v>1324</v>
      </c>
    </row>
    <row r="207" spans="1:12">
      <c r="A207" t="s">
        <v>780</v>
      </c>
      <c r="B207">
        <v>32</v>
      </c>
      <c r="C207" t="s">
        <v>1118</v>
      </c>
      <c r="D207" t="s">
        <v>779</v>
      </c>
      <c r="E207">
        <f>VLOOKUP(A207,batch_design!$J$1:$L$315,2,0)</f>
        <v>32</v>
      </c>
      <c r="H207" t="s">
        <v>508</v>
      </c>
      <c r="I207">
        <v>39</v>
      </c>
      <c r="J207" t="s">
        <v>1118</v>
      </c>
      <c r="K207" t="s">
        <v>507</v>
      </c>
      <c r="L207" t="s">
        <v>1325</v>
      </c>
    </row>
    <row r="208" spans="1:12">
      <c r="A208" t="s">
        <v>783</v>
      </c>
      <c r="B208">
        <v>30</v>
      </c>
      <c r="C208" t="s">
        <v>1118</v>
      </c>
      <c r="D208" t="s">
        <v>782</v>
      </c>
      <c r="E208">
        <f>VLOOKUP(A208,batch_design!$J$1:$L$315,2,0)</f>
        <v>30</v>
      </c>
      <c r="H208" t="s">
        <v>363</v>
      </c>
      <c r="I208">
        <v>56</v>
      </c>
      <c r="J208" t="s">
        <v>489</v>
      </c>
      <c r="K208" t="s">
        <v>362</v>
      </c>
      <c r="L208" t="s">
        <v>1326</v>
      </c>
    </row>
    <row r="209" spans="1:12">
      <c r="A209" t="s">
        <v>786</v>
      </c>
      <c r="B209">
        <v>33</v>
      </c>
      <c r="C209" t="s">
        <v>1118</v>
      </c>
      <c r="D209" t="s">
        <v>785</v>
      </c>
      <c r="E209">
        <f>VLOOKUP(A209,batch_design!$J$1:$L$315,2,0)</f>
        <v>33</v>
      </c>
      <c r="H209" t="s">
        <v>1070</v>
      </c>
      <c r="I209">
        <v>47</v>
      </c>
      <c r="J209" t="s">
        <v>1129</v>
      </c>
      <c r="K209" t="s">
        <v>1069</v>
      </c>
      <c r="L209" t="s">
        <v>1327</v>
      </c>
    </row>
    <row r="210" spans="1:12">
      <c r="A210" t="s">
        <v>789</v>
      </c>
      <c r="B210">
        <v>43</v>
      </c>
      <c r="C210" t="s">
        <v>1118</v>
      </c>
      <c r="D210" t="s">
        <v>788</v>
      </c>
      <c r="E210">
        <f>VLOOKUP(A210,batch_design!$J$1:$L$315,2,0)</f>
        <v>43</v>
      </c>
      <c r="H210" t="s">
        <v>746</v>
      </c>
      <c r="I210">
        <v>48</v>
      </c>
      <c r="J210" t="s">
        <v>1118</v>
      </c>
      <c r="K210" t="s">
        <v>745</v>
      </c>
      <c r="L210" t="s">
        <v>1328</v>
      </c>
    </row>
    <row r="211" spans="1:12">
      <c r="A211" t="s">
        <v>793</v>
      </c>
      <c r="B211">
        <v>34</v>
      </c>
      <c r="C211" t="s">
        <v>1118</v>
      </c>
      <c r="D211" t="s">
        <v>792</v>
      </c>
      <c r="E211">
        <f>VLOOKUP(A211,batch_design!$J$1:$L$315,2,0)</f>
        <v>34</v>
      </c>
      <c r="H211" t="s">
        <v>826</v>
      </c>
      <c r="I211">
        <v>21</v>
      </c>
      <c r="J211" t="s">
        <v>1118</v>
      </c>
      <c r="K211" t="s">
        <v>825</v>
      </c>
      <c r="L211" t="s">
        <v>1329</v>
      </c>
    </row>
    <row r="212" spans="1:12">
      <c r="A212" t="s">
        <v>796</v>
      </c>
      <c r="B212">
        <v>30</v>
      </c>
      <c r="C212" t="s">
        <v>1118</v>
      </c>
      <c r="D212" t="s">
        <v>795</v>
      </c>
      <c r="E212">
        <f>VLOOKUP(A212,batch_design!$J$1:$L$315,2,0)</f>
        <v>30</v>
      </c>
      <c r="H212" t="s">
        <v>1103</v>
      </c>
      <c r="I212">
        <v>45</v>
      </c>
      <c r="J212" t="s">
        <v>1129</v>
      </c>
      <c r="K212" t="s">
        <v>1102</v>
      </c>
      <c r="L212" t="s">
        <v>1330</v>
      </c>
    </row>
    <row r="213" spans="1:12">
      <c r="A213" t="s">
        <v>799</v>
      </c>
      <c r="B213">
        <v>43</v>
      </c>
      <c r="C213" t="s">
        <v>1118</v>
      </c>
      <c r="D213" t="s">
        <v>798</v>
      </c>
      <c r="E213">
        <f>VLOOKUP(A213,batch_design!$J$1:$L$315,2,0)</f>
        <v>43</v>
      </c>
      <c r="H213" t="s">
        <v>1005</v>
      </c>
      <c r="I213">
        <v>51</v>
      </c>
      <c r="J213" t="s">
        <v>1129</v>
      </c>
      <c r="K213" t="s">
        <v>1004</v>
      </c>
      <c r="L213" t="s">
        <v>1331</v>
      </c>
    </row>
    <row r="214" spans="1:12">
      <c r="A214" t="s">
        <v>802</v>
      </c>
      <c r="B214">
        <v>28</v>
      </c>
      <c r="C214" t="s">
        <v>1118</v>
      </c>
      <c r="D214" t="s">
        <v>801</v>
      </c>
      <c r="E214">
        <f>VLOOKUP(A214,batch_design!$J$1:$L$315,2,0)</f>
        <v>28</v>
      </c>
      <c r="H214" t="s">
        <v>646</v>
      </c>
      <c r="I214">
        <v>33</v>
      </c>
      <c r="J214" t="s">
        <v>1118</v>
      </c>
      <c r="K214" t="s">
        <v>645</v>
      </c>
      <c r="L214" t="s">
        <v>1332</v>
      </c>
    </row>
    <row r="215" spans="1:12">
      <c r="A215" t="s">
        <v>805</v>
      </c>
      <c r="B215">
        <v>27</v>
      </c>
      <c r="C215" t="s">
        <v>1118</v>
      </c>
      <c r="D215" t="s">
        <v>804</v>
      </c>
      <c r="E215">
        <f>VLOOKUP(A215,batch_design!$J$1:$L$315,2,0)</f>
        <v>27</v>
      </c>
      <c r="H215" t="s">
        <v>866</v>
      </c>
      <c r="I215">
        <v>52</v>
      </c>
      <c r="J215" t="s">
        <v>1118</v>
      </c>
      <c r="K215" t="s">
        <v>865</v>
      </c>
      <c r="L215" t="s">
        <v>1333</v>
      </c>
    </row>
    <row r="216" spans="1:12">
      <c r="A216" t="s">
        <v>808</v>
      </c>
      <c r="B216">
        <v>23</v>
      </c>
      <c r="C216" t="s">
        <v>1118</v>
      </c>
      <c r="D216" t="s">
        <v>807</v>
      </c>
      <c r="E216">
        <f>VLOOKUP(A216,batch_design!$J$1:$L$315,2,0)</f>
        <v>23</v>
      </c>
      <c r="H216" t="s">
        <v>255</v>
      </c>
      <c r="I216">
        <v>63</v>
      </c>
      <c r="J216" t="s">
        <v>479</v>
      </c>
      <c r="K216" t="s">
        <v>254</v>
      </c>
      <c r="L216" t="s">
        <v>1334</v>
      </c>
    </row>
    <row r="217" spans="1:12">
      <c r="A217" t="s">
        <v>811</v>
      </c>
      <c r="B217">
        <v>20</v>
      </c>
      <c r="C217" t="s">
        <v>1118</v>
      </c>
      <c r="D217" t="s">
        <v>810</v>
      </c>
      <c r="E217">
        <f>VLOOKUP(A217,batch_design!$J$1:$L$315,2,0)</f>
        <v>20</v>
      </c>
      <c r="H217" t="s">
        <v>1002</v>
      </c>
      <c r="I217">
        <v>28</v>
      </c>
      <c r="J217" t="s">
        <v>1129</v>
      </c>
      <c r="K217" t="s">
        <v>1001</v>
      </c>
      <c r="L217" t="s">
        <v>1335</v>
      </c>
    </row>
    <row r="218" spans="1:12">
      <c r="A218" t="s">
        <v>814</v>
      </c>
      <c r="B218">
        <v>32</v>
      </c>
      <c r="C218" t="s">
        <v>1118</v>
      </c>
      <c r="D218" t="s">
        <v>813</v>
      </c>
      <c r="E218">
        <f>VLOOKUP(A218,batch_design!$J$1:$L$315,2,0)</f>
        <v>32</v>
      </c>
      <c r="H218" t="s">
        <v>728</v>
      </c>
      <c r="I218">
        <v>31</v>
      </c>
      <c r="J218" t="s">
        <v>1118</v>
      </c>
      <c r="K218" t="s">
        <v>727</v>
      </c>
      <c r="L218" t="s">
        <v>1336</v>
      </c>
    </row>
    <row r="219" spans="1:12">
      <c r="A219" t="s">
        <v>817</v>
      </c>
      <c r="B219">
        <v>34</v>
      </c>
      <c r="C219" t="s">
        <v>1118</v>
      </c>
      <c r="D219" t="s">
        <v>816</v>
      </c>
      <c r="E219">
        <f>VLOOKUP(A219,batch_design!$J$1:$L$315,2,0)</f>
        <v>34</v>
      </c>
      <c r="H219" t="s">
        <v>115</v>
      </c>
      <c r="I219">
        <v>42</v>
      </c>
      <c r="J219" t="s">
        <v>479</v>
      </c>
      <c r="K219" t="s">
        <v>114</v>
      </c>
      <c r="L219" t="s">
        <v>1337</v>
      </c>
    </row>
    <row r="220" spans="1:12">
      <c r="A220" t="s">
        <v>820</v>
      </c>
      <c r="B220">
        <v>21</v>
      </c>
      <c r="C220" t="s">
        <v>1118</v>
      </c>
      <c r="D220" t="s">
        <v>819</v>
      </c>
      <c r="E220">
        <f>VLOOKUP(A220,batch_design!$J$1:$L$315,2,0)</f>
        <v>21</v>
      </c>
      <c r="H220" t="s">
        <v>367</v>
      </c>
      <c r="I220">
        <v>71</v>
      </c>
      <c r="J220" t="s">
        <v>481</v>
      </c>
      <c r="K220" t="s">
        <v>366</v>
      </c>
      <c r="L220" t="s">
        <v>1338</v>
      </c>
    </row>
    <row r="221" spans="1:12">
      <c r="A221" t="s">
        <v>823</v>
      </c>
      <c r="B221">
        <v>26</v>
      </c>
      <c r="C221" t="s">
        <v>1118</v>
      </c>
      <c r="D221" t="s">
        <v>822</v>
      </c>
      <c r="E221">
        <f>VLOOKUP(A221,batch_design!$J$1:$L$315,2,0)</f>
        <v>26</v>
      </c>
      <c r="H221" t="s">
        <v>796</v>
      </c>
      <c r="I221">
        <v>30</v>
      </c>
      <c r="J221" t="s">
        <v>1118</v>
      </c>
      <c r="K221" t="s">
        <v>795</v>
      </c>
      <c r="L221" t="s">
        <v>1339</v>
      </c>
    </row>
    <row r="222" spans="1:12">
      <c r="A222" t="s">
        <v>826</v>
      </c>
      <c r="B222">
        <v>21</v>
      </c>
      <c r="C222" t="s">
        <v>1118</v>
      </c>
      <c r="D222" t="s">
        <v>825</v>
      </c>
      <c r="E222">
        <f>VLOOKUP(A222,batch_design!$J$1:$L$315,2,0)</f>
        <v>21</v>
      </c>
      <c r="H222" t="s">
        <v>41</v>
      </c>
      <c r="I222">
        <v>56</v>
      </c>
      <c r="J222" t="s">
        <v>479</v>
      </c>
      <c r="K222" t="s">
        <v>39</v>
      </c>
      <c r="L222" t="s">
        <v>1340</v>
      </c>
    </row>
    <row r="223" spans="1:12">
      <c r="A223" t="s">
        <v>829</v>
      </c>
      <c r="B223">
        <v>23</v>
      </c>
      <c r="C223" t="s">
        <v>1118</v>
      </c>
      <c r="D223" t="s">
        <v>828</v>
      </c>
      <c r="E223">
        <f>VLOOKUP(A223,batch_design!$J$1:$L$315,2,0)</f>
        <v>23</v>
      </c>
      <c r="H223" t="s">
        <v>1046</v>
      </c>
      <c r="I223">
        <v>43</v>
      </c>
      <c r="J223" t="s">
        <v>1129</v>
      </c>
      <c r="K223" t="s">
        <v>1045</v>
      </c>
      <c r="L223" t="s">
        <v>1341</v>
      </c>
    </row>
    <row r="224" spans="1:12">
      <c r="A224" t="s">
        <v>832</v>
      </c>
      <c r="B224">
        <v>24</v>
      </c>
      <c r="C224" t="s">
        <v>1118</v>
      </c>
      <c r="D224" t="s">
        <v>831</v>
      </c>
      <c r="E224">
        <f>VLOOKUP(A224,batch_design!$J$1:$L$315,2,0)</f>
        <v>24</v>
      </c>
      <c r="H224" t="s">
        <v>171</v>
      </c>
      <c r="I224">
        <v>64</v>
      </c>
      <c r="J224" t="s">
        <v>489</v>
      </c>
      <c r="K224" t="s">
        <v>170</v>
      </c>
      <c r="L224" t="s">
        <v>1342</v>
      </c>
    </row>
    <row r="225" spans="1:12">
      <c r="A225" t="s">
        <v>835</v>
      </c>
      <c r="B225">
        <v>24</v>
      </c>
      <c r="C225" t="s">
        <v>1118</v>
      </c>
      <c r="D225" t="s">
        <v>834</v>
      </c>
      <c r="E225">
        <f>VLOOKUP(A225,batch_design!$J$1:$L$315,2,0)</f>
        <v>24</v>
      </c>
      <c r="H225" t="s">
        <v>187</v>
      </c>
      <c r="I225">
        <v>54</v>
      </c>
      <c r="J225" t="s">
        <v>479</v>
      </c>
      <c r="K225" t="s">
        <v>186</v>
      </c>
      <c r="L225" t="s">
        <v>1343</v>
      </c>
    </row>
    <row r="226" spans="1:12">
      <c r="A226" t="s">
        <v>838</v>
      </c>
      <c r="B226">
        <v>55</v>
      </c>
      <c r="C226" t="s">
        <v>1118</v>
      </c>
      <c r="D226" t="s">
        <v>837</v>
      </c>
      <c r="E226">
        <f>VLOOKUP(A226,batch_design!$J$1:$L$315,2,0)</f>
        <v>55</v>
      </c>
      <c r="H226" t="s">
        <v>533</v>
      </c>
      <c r="I226">
        <v>40</v>
      </c>
      <c r="J226" t="s">
        <v>1118</v>
      </c>
      <c r="K226" t="s">
        <v>532</v>
      </c>
      <c r="L226" t="s">
        <v>1344</v>
      </c>
    </row>
    <row r="227" spans="1:12">
      <c r="A227" t="s">
        <v>841</v>
      </c>
      <c r="B227">
        <v>26</v>
      </c>
      <c r="C227" t="s">
        <v>1118</v>
      </c>
      <c r="D227" t="s">
        <v>840</v>
      </c>
      <c r="E227">
        <f>VLOOKUP(A227,batch_design!$J$1:$L$315,2,0)</f>
        <v>26</v>
      </c>
      <c r="H227" t="s">
        <v>275</v>
      </c>
      <c r="I227">
        <v>43</v>
      </c>
      <c r="J227" t="s">
        <v>479</v>
      </c>
      <c r="K227" t="s">
        <v>274</v>
      </c>
      <c r="L227" t="s">
        <v>1345</v>
      </c>
    </row>
    <row r="228" spans="1:12">
      <c r="A228" t="s">
        <v>844</v>
      </c>
      <c r="B228">
        <v>29</v>
      </c>
      <c r="C228" t="s">
        <v>1118</v>
      </c>
      <c r="D228" t="s">
        <v>843</v>
      </c>
      <c r="E228">
        <f>VLOOKUP(A228,batch_design!$J$1:$L$315,2,0)</f>
        <v>29</v>
      </c>
      <c r="H228" t="s">
        <v>426</v>
      </c>
      <c r="I228">
        <v>51</v>
      </c>
      <c r="J228" t="s">
        <v>489</v>
      </c>
      <c r="K228" t="s">
        <v>425</v>
      </c>
      <c r="L228" t="s">
        <v>1346</v>
      </c>
    </row>
    <row r="229" spans="1:12">
      <c r="A229" t="s">
        <v>847</v>
      </c>
      <c r="B229">
        <v>27</v>
      </c>
      <c r="C229" t="s">
        <v>1118</v>
      </c>
      <c r="D229" t="s">
        <v>846</v>
      </c>
      <c r="E229">
        <f>VLOOKUP(A229,batch_design!$J$1:$L$315,2,0)</f>
        <v>27</v>
      </c>
      <c r="H229" t="s">
        <v>893</v>
      </c>
      <c r="I229">
        <v>59</v>
      </c>
      <c r="J229" t="s">
        <v>1118</v>
      </c>
      <c r="K229" t="s">
        <v>892</v>
      </c>
      <c r="L229" t="s">
        <v>1347</v>
      </c>
    </row>
    <row r="230" spans="1:12">
      <c r="A230" t="s">
        <v>850</v>
      </c>
      <c r="B230">
        <v>32</v>
      </c>
      <c r="C230" t="s">
        <v>1118</v>
      </c>
      <c r="D230" t="s">
        <v>849</v>
      </c>
      <c r="E230">
        <f>VLOOKUP(A230,batch_design!$J$1:$L$315,2,0)</f>
        <v>32</v>
      </c>
      <c r="H230" t="s">
        <v>1020</v>
      </c>
      <c r="I230">
        <v>29</v>
      </c>
      <c r="J230" t="s">
        <v>1129</v>
      </c>
      <c r="K230" t="s">
        <v>1019</v>
      </c>
      <c r="L230" t="s">
        <v>1348</v>
      </c>
    </row>
    <row r="231" spans="1:12">
      <c r="A231" t="s">
        <v>853</v>
      </c>
      <c r="B231">
        <v>22</v>
      </c>
      <c r="C231" t="s">
        <v>1118</v>
      </c>
      <c r="D231" t="s">
        <v>852</v>
      </c>
      <c r="E231">
        <f>VLOOKUP(A231,batch_design!$J$1:$L$315,2,0)</f>
        <v>22</v>
      </c>
      <c r="H231" t="s">
        <v>442</v>
      </c>
      <c r="I231">
        <v>53</v>
      </c>
      <c r="J231" t="s">
        <v>479</v>
      </c>
      <c r="K231" t="s">
        <v>441</v>
      </c>
      <c r="L231" t="s">
        <v>1349</v>
      </c>
    </row>
    <row r="232" spans="1:12">
      <c r="A232" t="s">
        <v>856</v>
      </c>
      <c r="B232">
        <v>24</v>
      </c>
      <c r="C232" t="s">
        <v>1118</v>
      </c>
      <c r="D232" t="s">
        <v>855</v>
      </c>
      <c r="E232">
        <f>VLOOKUP(A232,batch_design!$J$1:$L$315,2,0)</f>
        <v>24</v>
      </c>
      <c r="H232" t="s">
        <v>604</v>
      </c>
      <c r="I232">
        <v>39</v>
      </c>
      <c r="J232" t="s">
        <v>1118</v>
      </c>
      <c r="K232" t="s">
        <v>603</v>
      </c>
      <c r="L232" t="s">
        <v>1350</v>
      </c>
    </row>
    <row r="233" spans="1:12">
      <c r="A233" t="s">
        <v>859</v>
      </c>
      <c r="B233">
        <v>23</v>
      </c>
      <c r="C233" t="s">
        <v>1118</v>
      </c>
      <c r="D233" t="s">
        <v>858</v>
      </c>
      <c r="E233">
        <f>VLOOKUP(A233,batch_design!$J$1:$L$315,2,0)</f>
        <v>23</v>
      </c>
      <c r="H233" t="s">
        <v>167</v>
      </c>
      <c r="I233">
        <v>26</v>
      </c>
      <c r="J233" t="s">
        <v>497</v>
      </c>
      <c r="K233" t="s">
        <v>166</v>
      </c>
      <c r="L233" t="s">
        <v>1351</v>
      </c>
    </row>
    <row r="234" spans="1:12">
      <c r="A234" t="s">
        <v>863</v>
      </c>
      <c r="B234">
        <v>23</v>
      </c>
      <c r="C234" t="s">
        <v>1118</v>
      </c>
      <c r="D234" t="s">
        <v>862</v>
      </c>
      <c r="E234">
        <f>VLOOKUP(A234,batch_design!$J$1:$L$315,2,0)</f>
        <v>23</v>
      </c>
      <c r="H234" t="s">
        <v>575</v>
      </c>
      <c r="I234">
        <v>50</v>
      </c>
      <c r="J234" t="s">
        <v>1118</v>
      </c>
      <c r="K234" t="s">
        <v>574</v>
      </c>
      <c r="L234" t="s">
        <v>1352</v>
      </c>
    </row>
    <row r="235" spans="1:12">
      <c r="A235" t="s">
        <v>866</v>
      </c>
      <c r="B235">
        <v>52</v>
      </c>
      <c r="C235" t="s">
        <v>1118</v>
      </c>
      <c r="D235" t="s">
        <v>865</v>
      </c>
      <c r="E235">
        <f>VLOOKUP(A235,batch_design!$J$1:$L$315,2,0)</f>
        <v>52</v>
      </c>
      <c r="H235" t="s">
        <v>359</v>
      </c>
      <c r="I235">
        <v>65</v>
      </c>
      <c r="J235" t="s">
        <v>479</v>
      </c>
      <c r="K235" t="s">
        <v>358</v>
      </c>
      <c r="L235" t="s">
        <v>1353</v>
      </c>
    </row>
    <row r="236" spans="1:12">
      <c r="A236" t="s">
        <v>869</v>
      </c>
      <c r="B236">
        <v>54</v>
      </c>
      <c r="C236" t="s">
        <v>1118</v>
      </c>
      <c r="D236" t="s">
        <v>868</v>
      </c>
      <c r="E236">
        <f>VLOOKUP(A236,batch_design!$J$1:$L$315,2,0)</f>
        <v>54</v>
      </c>
      <c r="H236" t="s">
        <v>628</v>
      </c>
      <c r="I236">
        <v>52</v>
      </c>
      <c r="J236" t="s">
        <v>1118</v>
      </c>
      <c r="K236" t="s">
        <v>627</v>
      </c>
      <c r="L236" t="s">
        <v>1354</v>
      </c>
    </row>
    <row r="237" spans="1:12">
      <c r="A237" t="s">
        <v>872</v>
      </c>
      <c r="B237">
        <v>30</v>
      </c>
      <c r="C237" t="s">
        <v>1118</v>
      </c>
      <c r="D237" t="s">
        <v>871</v>
      </c>
      <c r="E237">
        <f>VLOOKUP(A237,batch_design!$J$1:$L$315,2,0)</f>
        <v>30</v>
      </c>
      <c r="H237" t="s">
        <v>847</v>
      </c>
      <c r="I237">
        <v>27</v>
      </c>
      <c r="J237" t="s">
        <v>1118</v>
      </c>
      <c r="K237" t="s">
        <v>846</v>
      </c>
      <c r="L237" t="s">
        <v>1355</v>
      </c>
    </row>
    <row r="238" spans="1:12">
      <c r="A238" t="s">
        <v>875</v>
      </c>
      <c r="B238">
        <v>56</v>
      </c>
      <c r="C238" t="s">
        <v>1118</v>
      </c>
      <c r="D238" t="s">
        <v>874</v>
      </c>
      <c r="E238">
        <f>VLOOKUP(A238,batch_design!$J$1:$L$315,2,0)</f>
        <v>56</v>
      </c>
      <c r="H238" t="s">
        <v>960</v>
      </c>
      <c r="I238">
        <v>28</v>
      </c>
      <c r="J238" t="s">
        <v>1129</v>
      </c>
      <c r="K238" t="s">
        <v>959</v>
      </c>
      <c r="L238" t="s">
        <v>1356</v>
      </c>
    </row>
    <row r="239" spans="1:12">
      <c r="A239" t="s">
        <v>878</v>
      </c>
      <c r="B239">
        <v>53</v>
      </c>
      <c r="C239" t="s">
        <v>1118</v>
      </c>
      <c r="D239" t="s">
        <v>877</v>
      </c>
      <c r="E239">
        <f>VLOOKUP(A239,batch_design!$J$1:$L$315,2,0)</f>
        <v>53</v>
      </c>
      <c r="H239" t="s">
        <v>139</v>
      </c>
      <c r="I239">
        <v>67</v>
      </c>
      <c r="J239" s="20" t="s">
        <v>1774</v>
      </c>
      <c r="K239" t="s">
        <v>138</v>
      </c>
      <c r="L239" t="s">
        <v>1357</v>
      </c>
    </row>
    <row r="240" spans="1:12">
      <c r="A240" t="s">
        <v>881</v>
      </c>
      <c r="B240">
        <v>49</v>
      </c>
      <c r="C240" t="s">
        <v>1118</v>
      </c>
      <c r="D240" t="s">
        <v>880</v>
      </c>
      <c r="E240" t="e">
        <f>VLOOKUP(A240,batch_design!$J$1:$L$315,2,0)</f>
        <v>#N/A</v>
      </c>
      <c r="H240" t="s">
        <v>996</v>
      </c>
      <c r="I240">
        <v>32</v>
      </c>
      <c r="J240" t="s">
        <v>1129</v>
      </c>
      <c r="K240" t="s">
        <v>995</v>
      </c>
      <c r="L240" t="s">
        <v>1358</v>
      </c>
    </row>
    <row r="241" spans="1:12">
      <c r="A241" t="s">
        <v>884</v>
      </c>
      <c r="B241">
        <v>48</v>
      </c>
      <c r="C241" t="s">
        <v>1118</v>
      </c>
      <c r="D241" t="s">
        <v>883</v>
      </c>
      <c r="E241">
        <f>VLOOKUP(A241,batch_design!$J$1:$L$315,2,0)</f>
        <v>48</v>
      </c>
      <c r="H241" t="s">
        <v>327</v>
      </c>
      <c r="I241">
        <v>48</v>
      </c>
      <c r="J241" t="s">
        <v>479</v>
      </c>
      <c r="K241" t="s">
        <v>326</v>
      </c>
      <c r="L241" t="s">
        <v>1359</v>
      </c>
    </row>
    <row r="242" spans="1:12">
      <c r="A242" t="s">
        <v>887</v>
      </c>
      <c r="B242">
        <v>47</v>
      </c>
      <c r="C242" t="s">
        <v>1118</v>
      </c>
      <c r="D242" t="s">
        <v>886</v>
      </c>
      <c r="E242">
        <f>VLOOKUP(A242,batch_design!$J$1:$L$315,2,0)</f>
        <v>47</v>
      </c>
      <c r="H242" t="s">
        <v>467</v>
      </c>
      <c r="I242">
        <v>51</v>
      </c>
      <c r="J242" t="s">
        <v>479</v>
      </c>
      <c r="K242" t="s">
        <v>466</v>
      </c>
      <c r="L242" t="s">
        <v>1360</v>
      </c>
    </row>
    <row r="243" spans="1:12">
      <c r="A243" t="s">
        <v>890</v>
      </c>
      <c r="B243">
        <v>60</v>
      </c>
      <c r="C243" t="s">
        <v>1118</v>
      </c>
      <c r="D243" t="s">
        <v>889</v>
      </c>
      <c r="E243">
        <f>VLOOKUP(A243,batch_design!$J$1:$L$315,2,0)</f>
        <v>60</v>
      </c>
      <c r="H243" t="s">
        <v>227</v>
      </c>
      <c r="I243">
        <v>15</v>
      </c>
      <c r="J243" t="s">
        <v>1771</v>
      </c>
      <c r="K243" t="s">
        <v>226</v>
      </c>
      <c r="L243" t="s">
        <v>1361</v>
      </c>
    </row>
    <row r="244" spans="1:12">
      <c r="A244" t="s">
        <v>893</v>
      </c>
      <c r="B244">
        <v>59</v>
      </c>
      <c r="C244" t="s">
        <v>1118</v>
      </c>
      <c r="D244" t="s">
        <v>892</v>
      </c>
      <c r="E244">
        <f>VLOOKUP(A244,batch_design!$J$1:$L$315,2,0)</f>
        <v>59</v>
      </c>
      <c r="H244" t="s">
        <v>680</v>
      </c>
      <c r="I244">
        <v>21</v>
      </c>
      <c r="J244" t="s">
        <v>1118</v>
      </c>
      <c r="K244" t="s">
        <v>679</v>
      </c>
      <c r="L244" t="s">
        <v>1362</v>
      </c>
    </row>
    <row r="245" spans="1:12">
      <c r="A245" t="s">
        <v>896</v>
      </c>
      <c r="B245">
        <v>36</v>
      </c>
      <c r="C245" t="s">
        <v>1118</v>
      </c>
      <c r="D245" t="s">
        <v>895</v>
      </c>
      <c r="E245">
        <f>VLOOKUP(A245,batch_design!$J$1:$L$315,2,0)</f>
        <v>36</v>
      </c>
      <c r="H245" t="s">
        <v>951</v>
      </c>
      <c r="I245">
        <v>40</v>
      </c>
      <c r="J245" t="s">
        <v>1129</v>
      </c>
      <c r="K245" t="s">
        <v>950</v>
      </c>
      <c r="L245" t="s">
        <v>1363</v>
      </c>
    </row>
    <row r="246" spans="1:12">
      <c r="A246" t="s">
        <v>909</v>
      </c>
      <c r="B246">
        <v>43</v>
      </c>
      <c r="C246" t="s">
        <v>1129</v>
      </c>
      <c r="D246" t="s">
        <v>908</v>
      </c>
      <c r="E246">
        <f>VLOOKUP(A246,batch_design!$J$1:$L$315,2,0)</f>
        <v>43</v>
      </c>
      <c r="H246" t="s">
        <v>749</v>
      </c>
      <c r="I246">
        <v>31</v>
      </c>
      <c r="J246" t="s">
        <v>1118</v>
      </c>
      <c r="K246" t="s">
        <v>748</v>
      </c>
      <c r="L246" t="s">
        <v>1364</v>
      </c>
    </row>
    <row r="247" spans="1:12">
      <c r="A247" t="s">
        <v>912</v>
      </c>
      <c r="B247">
        <v>27</v>
      </c>
      <c r="C247" t="s">
        <v>1129</v>
      </c>
      <c r="D247" t="s">
        <v>911</v>
      </c>
      <c r="E247">
        <f>VLOOKUP(A247,batch_design!$J$1:$L$315,2,0)</f>
        <v>27</v>
      </c>
      <c r="H247" t="s">
        <v>832</v>
      </c>
      <c r="I247">
        <v>24</v>
      </c>
      <c r="J247" t="s">
        <v>1118</v>
      </c>
      <c r="K247" t="s">
        <v>831</v>
      </c>
      <c r="L247" t="s">
        <v>1365</v>
      </c>
    </row>
    <row r="248" spans="1:12">
      <c r="A248" t="s">
        <v>915</v>
      </c>
      <c r="B248">
        <v>22</v>
      </c>
      <c r="C248" t="s">
        <v>1129</v>
      </c>
      <c r="D248" t="s">
        <v>914</v>
      </c>
      <c r="E248">
        <f>VLOOKUP(A248,batch_design!$J$1:$L$315,2,0)</f>
        <v>22</v>
      </c>
      <c r="H248" t="s">
        <v>572</v>
      </c>
      <c r="I248">
        <v>30</v>
      </c>
      <c r="J248" t="s">
        <v>1118</v>
      </c>
      <c r="K248" t="s">
        <v>571</v>
      </c>
      <c r="L248" t="s">
        <v>1366</v>
      </c>
    </row>
    <row r="249" spans="1:12">
      <c r="A249" t="s">
        <v>918</v>
      </c>
      <c r="B249">
        <v>42</v>
      </c>
      <c r="C249" t="s">
        <v>1129</v>
      </c>
      <c r="D249" t="s">
        <v>917</v>
      </c>
      <c r="E249">
        <f>VLOOKUP(A249,batch_design!$J$1:$L$315,2,0)</f>
        <v>42</v>
      </c>
      <c r="H249" t="s">
        <v>692</v>
      </c>
      <c r="I249">
        <v>27</v>
      </c>
      <c r="J249" t="s">
        <v>1118</v>
      </c>
      <c r="K249" t="s">
        <v>691</v>
      </c>
      <c r="L249" t="s">
        <v>1367</v>
      </c>
    </row>
    <row r="250" spans="1:12">
      <c r="A250" t="s">
        <v>921</v>
      </c>
      <c r="B250">
        <v>35</v>
      </c>
      <c r="C250" t="s">
        <v>1129</v>
      </c>
      <c r="D250" t="s">
        <v>920</v>
      </c>
      <c r="E250">
        <f>VLOOKUP(A250,batch_design!$J$1:$L$315,2,0)</f>
        <v>35</v>
      </c>
      <c r="H250" t="s">
        <v>859</v>
      </c>
      <c r="I250">
        <v>23</v>
      </c>
      <c r="J250" t="s">
        <v>1118</v>
      </c>
      <c r="K250" t="s">
        <v>858</v>
      </c>
      <c r="L250" t="s">
        <v>1368</v>
      </c>
    </row>
    <row r="251" spans="1:12">
      <c r="A251" t="s">
        <v>924</v>
      </c>
      <c r="B251">
        <v>34</v>
      </c>
      <c r="C251" t="s">
        <v>1129</v>
      </c>
      <c r="D251" t="s">
        <v>923</v>
      </c>
      <c r="E251">
        <f>VLOOKUP(A251,batch_design!$J$1:$L$315,2,0)</f>
        <v>34</v>
      </c>
      <c r="H251" t="s">
        <v>34</v>
      </c>
      <c r="I251">
        <v>48</v>
      </c>
      <c r="J251" s="20" t="s">
        <v>1774</v>
      </c>
      <c r="K251" t="s">
        <v>33</v>
      </c>
      <c r="L251" t="s">
        <v>1369</v>
      </c>
    </row>
    <row r="252" spans="1:12">
      <c r="A252" t="s">
        <v>927</v>
      </c>
      <c r="B252">
        <v>40</v>
      </c>
      <c r="C252" t="s">
        <v>1129</v>
      </c>
      <c r="D252" t="s">
        <v>926</v>
      </c>
      <c r="E252">
        <f>VLOOKUP(A252,batch_design!$J$1:$L$315,2,0)</f>
        <v>40</v>
      </c>
      <c r="H252" t="s">
        <v>737</v>
      </c>
      <c r="I252">
        <v>35</v>
      </c>
      <c r="J252" t="s">
        <v>1118</v>
      </c>
      <c r="K252" t="s">
        <v>736</v>
      </c>
      <c r="L252" t="s">
        <v>1370</v>
      </c>
    </row>
    <row r="253" spans="1:12">
      <c r="A253" t="s">
        <v>930</v>
      </c>
      <c r="B253">
        <v>27</v>
      </c>
      <c r="C253" t="s">
        <v>1129</v>
      </c>
      <c r="D253" t="s">
        <v>929</v>
      </c>
      <c r="E253">
        <f>VLOOKUP(A253,batch_design!$J$1:$L$315,2,0)</f>
        <v>27</v>
      </c>
      <c r="H253" t="s">
        <v>91</v>
      </c>
      <c r="I253">
        <v>63</v>
      </c>
      <c r="J253" t="s">
        <v>479</v>
      </c>
      <c r="K253" t="s">
        <v>89</v>
      </c>
      <c r="L253" t="s">
        <v>1371</v>
      </c>
    </row>
    <row r="254" spans="1:12">
      <c r="A254" t="s">
        <v>933</v>
      </c>
      <c r="B254">
        <v>29</v>
      </c>
      <c r="C254" t="s">
        <v>1129</v>
      </c>
      <c r="D254" t="s">
        <v>932</v>
      </c>
      <c r="E254">
        <f>VLOOKUP(A254,batch_design!$J$1:$L$315,2,0)</f>
        <v>29</v>
      </c>
      <c r="H254" t="s">
        <v>379</v>
      </c>
      <c r="I254">
        <v>46</v>
      </c>
      <c r="J254" t="s">
        <v>1771</v>
      </c>
      <c r="K254" t="s">
        <v>378</v>
      </c>
      <c r="L254" t="s">
        <v>1372</v>
      </c>
    </row>
    <row r="255" spans="1:12">
      <c r="A255" t="s">
        <v>936</v>
      </c>
      <c r="B255">
        <v>23</v>
      </c>
      <c r="C255" t="s">
        <v>1129</v>
      </c>
      <c r="D255" t="s">
        <v>935</v>
      </c>
      <c r="E255">
        <f>VLOOKUP(A255,batch_design!$J$1:$L$315,2,0)</f>
        <v>23</v>
      </c>
      <c r="H255" t="s">
        <v>143</v>
      </c>
      <c r="I255">
        <v>60</v>
      </c>
      <c r="J255" t="s">
        <v>479</v>
      </c>
      <c r="K255" t="s">
        <v>142</v>
      </c>
      <c r="L255" t="s">
        <v>1373</v>
      </c>
    </row>
    <row r="256" spans="1:12">
      <c r="A256" t="s">
        <v>939</v>
      </c>
      <c r="B256">
        <v>25</v>
      </c>
      <c r="C256" t="s">
        <v>1129</v>
      </c>
      <c r="D256" t="s">
        <v>938</v>
      </c>
      <c r="E256">
        <f>VLOOKUP(A256,batch_design!$J$1:$L$315,2,0)</f>
        <v>25</v>
      </c>
      <c r="H256" t="s">
        <v>835</v>
      </c>
      <c r="I256">
        <v>24</v>
      </c>
      <c r="J256" t="s">
        <v>1118</v>
      </c>
      <c r="K256" t="s">
        <v>834</v>
      </c>
      <c r="L256" t="s">
        <v>1374</v>
      </c>
    </row>
    <row r="257" spans="1:12">
      <c r="A257" t="s">
        <v>942</v>
      </c>
      <c r="B257">
        <v>31</v>
      </c>
      <c r="C257" t="s">
        <v>1129</v>
      </c>
      <c r="D257" t="s">
        <v>941</v>
      </c>
      <c r="E257">
        <f>VLOOKUP(A257,batch_design!$J$1:$L$315,2,0)</f>
        <v>31</v>
      </c>
      <c r="H257" t="s">
        <v>625</v>
      </c>
      <c r="I257">
        <v>35</v>
      </c>
      <c r="J257" t="s">
        <v>1118</v>
      </c>
      <c r="K257" t="s">
        <v>624</v>
      </c>
      <c r="L257" t="s">
        <v>1375</v>
      </c>
    </row>
    <row r="258" spans="1:12">
      <c r="A258" t="s">
        <v>945</v>
      </c>
      <c r="B258">
        <v>51</v>
      </c>
      <c r="C258" t="s">
        <v>1129</v>
      </c>
      <c r="D258" t="s">
        <v>944</v>
      </c>
      <c r="E258">
        <f>VLOOKUP(A258,batch_design!$J$1:$L$315,2,0)</f>
        <v>51</v>
      </c>
      <c r="H258" t="s">
        <v>1106</v>
      </c>
      <c r="I258">
        <v>48</v>
      </c>
      <c r="J258" t="s">
        <v>1129</v>
      </c>
      <c r="K258" t="s">
        <v>1105</v>
      </c>
      <c r="L258" t="s">
        <v>1376</v>
      </c>
    </row>
    <row r="259" spans="1:12">
      <c r="A259" t="s">
        <v>948</v>
      </c>
      <c r="B259">
        <v>33</v>
      </c>
      <c r="C259" t="s">
        <v>1129</v>
      </c>
      <c r="D259" t="s">
        <v>947</v>
      </c>
      <c r="E259">
        <f>VLOOKUP(A259,batch_design!$J$1:$L$315,2,0)</f>
        <v>33</v>
      </c>
      <c r="H259" t="s">
        <v>844</v>
      </c>
      <c r="I259">
        <v>29</v>
      </c>
      <c r="J259" t="s">
        <v>1118</v>
      </c>
      <c r="K259" t="s">
        <v>843</v>
      </c>
      <c r="L259" t="s">
        <v>1377</v>
      </c>
    </row>
    <row r="260" spans="1:12">
      <c r="A260" t="s">
        <v>951</v>
      </c>
      <c r="B260">
        <v>40</v>
      </c>
      <c r="C260" t="s">
        <v>1129</v>
      </c>
      <c r="D260" t="s">
        <v>950</v>
      </c>
      <c r="E260">
        <f>VLOOKUP(A260,batch_design!$J$1:$L$315,2,0)</f>
        <v>40</v>
      </c>
      <c r="H260" t="s">
        <v>969</v>
      </c>
      <c r="I260">
        <v>32</v>
      </c>
      <c r="J260" t="s">
        <v>1129</v>
      </c>
      <c r="K260" t="s">
        <v>968</v>
      </c>
      <c r="L260" t="s">
        <v>1378</v>
      </c>
    </row>
    <row r="261" spans="1:12">
      <c r="A261" t="s">
        <v>954</v>
      </c>
      <c r="B261">
        <v>49</v>
      </c>
      <c r="C261" t="s">
        <v>1129</v>
      </c>
      <c r="D261" t="s">
        <v>953</v>
      </c>
      <c r="E261">
        <f>VLOOKUP(A261,batch_design!$J$1:$L$315,2,0)</f>
        <v>49</v>
      </c>
      <c r="H261" t="s">
        <v>921</v>
      </c>
      <c r="I261">
        <v>35</v>
      </c>
      <c r="J261" t="s">
        <v>1129</v>
      </c>
      <c r="K261" t="s">
        <v>920</v>
      </c>
      <c r="L261" t="s">
        <v>1379</v>
      </c>
    </row>
    <row r="262" spans="1:12">
      <c r="A262" t="s">
        <v>957</v>
      </c>
      <c r="B262">
        <v>45</v>
      </c>
      <c r="C262" t="s">
        <v>1129</v>
      </c>
      <c r="D262" t="s">
        <v>956</v>
      </c>
      <c r="E262">
        <f>VLOOKUP(A262,batch_design!$J$1:$L$315,2,0)</f>
        <v>45</v>
      </c>
      <c r="H262" t="s">
        <v>311</v>
      </c>
      <c r="I262">
        <v>52</v>
      </c>
      <c r="J262" t="s">
        <v>1771</v>
      </c>
      <c r="K262" t="s">
        <v>310</v>
      </c>
      <c r="L262" t="s">
        <v>1380</v>
      </c>
    </row>
    <row r="263" spans="1:12">
      <c r="A263" t="s">
        <v>960</v>
      </c>
      <c r="B263">
        <v>28</v>
      </c>
      <c r="C263" t="s">
        <v>1129</v>
      </c>
      <c r="D263" t="s">
        <v>959</v>
      </c>
      <c r="E263">
        <f>VLOOKUP(A263,batch_design!$J$1:$L$315,2,0)</f>
        <v>28</v>
      </c>
      <c r="H263" t="s">
        <v>966</v>
      </c>
      <c r="I263">
        <v>41</v>
      </c>
      <c r="J263" t="s">
        <v>1129</v>
      </c>
      <c r="K263" t="s">
        <v>965</v>
      </c>
      <c r="L263" t="s">
        <v>1381</v>
      </c>
    </row>
    <row r="264" spans="1:12">
      <c r="A264" t="s">
        <v>963</v>
      </c>
      <c r="B264">
        <v>28</v>
      </c>
      <c r="C264" t="s">
        <v>1129</v>
      </c>
      <c r="D264" t="s">
        <v>962</v>
      </c>
      <c r="E264">
        <f>VLOOKUP(A264,batch_design!$J$1:$L$315,2,0)</f>
        <v>28</v>
      </c>
      <c r="H264" t="s">
        <v>539</v>
      </c>
      <c r="I264">
        <v>40</v>
      </c>
      <c r="J264" t="s">
        <v>1118</v>
      </c>
      <c r="K264" t="s">
        <v>538</v>
      </c>
      <c r="L264" t="s">
        <v>1382</v>
      </c>
    </row>
    <row r="265" spans="1:12">
      <c r="A265" t="s">
        <v>966</v>
      </c>
      <c r="B265">
        <v>41</v>
      </c>
      <c r="C265" t="s">
        <v>1129</v>
      </c>
      <c r="D265" t="s">
        <v>965</v>
      </c>
      <c r="E265">
        <f>VLOOKUP(A265,batch_design!$J$1:$L$315,2,0)</f>
        <v>41</v>
      </c>
      <c r="H265" t="s">
        <v>972</v>
      </c>
      <c r="I265">
        <v>29</v>
      </c>
      <c r="J265" t="s">
        <v>1129</v>
      </c>
      <c r="K265" t="s">
        <v>971</v>
      </c>
      <c r="L265" t="s">
        <v>1383</v>
      </c>
    </row>
    <row r="266" spans="1:12">
      <c r="A266" t="s">
        <v>969</v>
      </c>
      <c r="B266">
        <v>32</v>
      </c>
      <c r="C266" t="s">
        <v>1129</v>
      </c>
      <c r="D266" t="s">
        <v>968</v>
      </c>
      <c r="E266">
        <f>VLOOKUP(A266,batch_design!$J$1:$L$315,2,0)</f>
        <v>32</v>
      </c>
      <c r="H266" t="s">
        <v>101</v>
      </c>
      <c r="I266">
        <v>55</v>
      </c>
      <c r="J266" t="s">
        <v>479</v>
      </c>
      <c r="K266" t="s">
        <v>99</v>
      </c>
      <c r="L266" t="s">
        <v>1384</v>
      </c>
    </row>
    <row r="267" spans="1:12">
      <c r="A267" t="s">
        <v>972</v>
      </c>
      <c r="B267">
        <v>29</v>
      </c>
      <c r="C267" t="s">
        <v>1129</v>
      </c>
      <c r="D267" t="s">
        <v>971</v>
      </c>
      <c r="E267">
        <f>VLOOKUP(A267,batch_design!$J$1:$L$315,2,0)</f>
        <v>29</v>
      </c>
      <c r="H267" t="s">
        <v>878</v>
      </c>
      <c r="I267">
        <v>53</v>
      </c>
      <c r="J267" t="s">
        <v>1118</v>
      </c>
      <c r="K267" t="s">
        <v>877</v>
      </c>
      <c r="L267" t="s">
        <v>1385</v>
      </c>
    </row>
    <row r="268" spans="1:12">
      <c r="A268" t="s">
        <v>975</v>
      </c>
      <c r="B268">
        <v>22</v>
      </c>
      <c r="C268" t="s">
        <v>1129</v>
      </c>
      <c r="D268" t="s">
        <v>974</v>
      </c>
      <c r="E268">
        <f>VLOOKUP(A268,batch_design!$J$1:$L$315,2,0)</f>
        <v>22</v>
      </c>
      <c r="H268" t="s">
        <v>1067</v>
      </c>
      <c r="I268">
        <v>38</v>
      </c>
      <c r="J268" t="s">
        <v>1129</v>
      </c>
      <c r="K268" t="s">
        <v>1066</v>
      </c>
      <c r="L268" t="s">
        <v>1386</v>
      </c>
    </row>
    <row r="269" spans="1:12">
      <c r="A269" t="s">
        <v>978</v>
      </c>
      <c r="B269">
        <v>51</v>
      </c>
      <c r="C269" t="s">
        <v>1129</v>
      </c>
      <c r="D269" t="s">
        <v>977</v>
      </c>
      <c r="E269">
        <f>VLOOKUP(A269,batch_design!$J$1:$L$315,2,0)</f>
        <v>51</v>
      </c>
      <c r="H269" t="s">
        <v>719</v>
      </c>
      <c r="I269">
        <v>26</v>
      </c>
      <c r="J269" t="s">
        <v>1118</v>
      </c>
      <c r="K269" t="s">
        <v>718</v>
      </c>
      <c r="L269" t="s">
        <v>1387</v>
      </c>
    </row>
    <row r="270" spans="1:12">
      <c r="A270" t="s">
        <v>981</v>
      </c>
      <c r="B270">
        <v>32</v>
      </c>
      <c r="C270" t="s">
        <v>1129</v>
      </c>
      <c r="D270" t="s">
        <v>980</v>
      </c>
      <c r="E270">
        <f>VLOOKUP(A270,batch_design!$J$1:$L$315,2,0)</f>
        <v>32</v>
      </c>
      <c r="H270" t="s">
        <v>957</v>
      </c>
      <c r="I270">
        <v>45</v>
      </c>
      <c r="J270" t="s">
        <v>1129</v>
      </c>
      <c r="K270" t="s">
        <v>956</v>
      </c>
      <c r="L270" t="s">
        <v>1388</v>
      </c>
    </row>
    <row r="271" spans="1:12">
      <c r="A271" t="s">
        <v>984</v>
      </c>
      <c r="B271">
        <v>48</v>
      </c>
      <c r="C271" t="s">
        <v>1129</v>
      </c>
      <c r="D271" t="s">
        <v>983</v>
      </c>
      <c r="E271">
        <f>VLOOKUP(A271,batch_design!$J$1:$L$315,2,0)</f>
        <v>48</v>
      </c>
      <c r="H271" t="s">
        <v>25</v>
      </c>
      <c r="I271">
        <v>49</v>
      </c>
      <c r="J271" t="s">
        <v>479</v>
      </c>
      <c r="K271" t="s">
        <v>23</v>
      </c>
      <c r="L271" t="s">
        <v>1389</v>
      </c>
    </row>
    <row r="272" spans="1:12">
      <c r="A272" t="s">
        <v>987</v>
      </c>
      <c r="B272">
        <v>23</v>
      </c>
      <c r="C272" t="s">
        <v>1129</v>
      </c>
      <c r="D272" t="s">
        <v>986</v>
      </c>
      <c r="E272">
        <f>VLOOKUP(A272,batch_design!$J$1:$L$315,2,0)</f>
        <v>23</v>
      </c>
      <c r="H272" t="s">
        <v>661</v>
      </c>
      <c r="I272">
        <v>39</v>
      </c>
      <c r="J272" t="s">
        <v>1118</v>
      </c>
      <c r="K272" t="s">
        <v>660</v>
      </c>
      <c r="L272" t="s">
        <v>1390</v>
      </c>
    </row>
    <row r="273" spans="1:12">
      <c r="A273" t="s">
        <v>990</v>
      </c>
      <c r="B273">
        <v>32</v>
      </c>
      <c r="C273" t="s">
        <v>1129</v>
      </c>
      <c r="D273" t="s">
        <v>989</v>
      </c>
      <c r="E273">
        <f>VLOOKUP(A273,batch_design!$J$1:$L$315,2,0)</f>
        <v>32</v>
      </c>
      <c r="H273" t="s">
        <v>283</v>
      </c>
      <c r="I273">
        <v>62</v>
      </c>
      <c r="J273" t="s">
        <v>493</v>
      </c>
      <c r="K273" t="s">
        <v>282</v>
      </c>
      <c r="L273" t="s">
        <v>1391</v>
      </c>
    </row>
    <row r="274" spans="1:12">
      <c r="A274" t="s">
        <v>993</v>
      </c>
      <c r="B274">
        <v>81</v>
      </c>
      <c r="C274" t="s">
        <v>1129</v>
      </c>
      <c r="D274" t="s">
        <v>992</v>
      </c>
      <c r="E274">
        <f>VLOOKUP(A274,batch_design!$J$1:$L$315,2,0)</f>
        <v>81</v>
      </c>
      <c r="H274" t="s">
        <v>945</v>
      </c>
      <c r="I274">
        <v>51</v>
      </c>
      <c r="J274" t="s">
        <v>1129</v>
      </c>
      <c r="K274" t="s">
        <v>944</v>
      </c>
      <c r="L274" t="s">
        <v>1392</v>
      </c>
    </row>
    <row r="275" spans="1:12">
      <c r="A275" t="s">
        <v>996</v>
      </c>
      <c r="B275">
        <v>32</v>
      </c>
      <c r="C275" t="s">
        <v>1129</v>
      </c>
      <c r="D275" t="s">
        <v>995</v>
      </c>
      <c r="E275">
        <f>VLOOKUP(A275,batch_design!$J$1:$L$315,2,0)</f>
        <v>32</v>
      </c>
      <c r="H275" t="s">
        <v>643</v>
      </c>
      <c r="I275">
        <v>20</v>
      </c>
      <c r="J275" t="s">
        <v>1118</v>
      </c>
      <c r="K275" t="s">
        <v>642</v>
      </c>
      <c r="L275" t="s">
        <v>1393</v>
      </c>
    </row>
    <row r="276" spans="1:12">
      <c r="A276" t="s">
        <v>999</v>
      </c>
      <c r="B276">
        <v>45</v>
      </c>
      <c r="C276" t="s">
        <v>1129</v>
      </c>
      <c r="D276" t="s">
        <v>998</v>
      </c>
      <c r="E276">
        <f>VLOOKUP(A276,batch_design!$J$1:$L$315,2,0)</f>
        <v>45</v>
      </c>
      <c r="H276" t="s">
        <v>1073</v>
      </c>
      <c r="I276">
        <v>34</v>
      </c>
      <c r="J276" t="s">
        <v>1129</v>
      </c>
      <c r="K276" t="s">
        <v>1072</v>
      </c>
      <c r="L276" t="s">
        <v>1394</v>
      </c>
    </row>
    <row r="277" spans="1:12">
      <c r="A277" t="s">
        <v>1002</v>
      </c>
      <c r="B277">
        <v>28</v>
      </c>
      <c r="C277" t="s">
        <v>1129</v>
      </c>
      <c r="D277" t="s">
        <v>1001</v>
      </c>
      <c r="E277">
        <f>VLOOKUP(A277,batch_design!$J$1:$L$315,2,0)</f>
        <v>28</v>
      </c>
      <c r="H277" t="s">
        <v>652</v>
      </c>
      <c r="I277">
        <v>43</v>
      </c>
      <c r="J277" t="s">
        <v>1118</v>
      </c>
      <c r="K277" t="s">
        <v>651</v>
      </c>
      <c r="L277" t="s">
        <v>1395</v>
      </c>
    </row>
    <row r="278" spans="1:12">
      <c r="A278" t="s">
        <v>1005</v>
      </c>
      <c r="B278">
        <v>51</v>
      </c>
      <c r="C278" t="s">
        <v>1129</v>
      </c>
      <c r="D278" t="s">
        <v>1004</v>
      </c>
      <c r="E278">
        <f>VLOOKUP(A278,batch_design!$J$1:$L$315,2,0)</f>
        <v>51</v>
      </c>
      <c r="H278" t="s">
        <v>978</v>
      </c>
      <c r="I278">
        <v>51</v>
      </c>
      <c r="J278" t="s">
        <v>1129</v>
      </c>
      <c r="K278" t="s">
        <v>977</v>
      </c>
      <c r="L278" t="s">
        <v>1396</v>
      </c>
    </row>
    <row r="279" spans="1:12">
      <c r="A279" t="s">
        <v>1008</v>
      </c>
      <c r="B279">
        <v>43</v>
      </c>
      <c r="C279" t="s">
        <v>1129</v>
      </c>
      <c r="D279" t="s">
        <v>1007</v>
      </c>
      <c r="E279">
        <f>VLOOKUP(A279,batch_design!$J$1:$L$315,2,0)</f>
        <v>43</v>
      </c>
      <c r="H279" t="s">
        <v>838</v>
      </c>
      <c r="I279">
        <v>55</v>
      </c>
      <c r="J279" t="s">
        <v>1118</v>
      </c>
      <c r="K279" t="s">
        <v>837</v>
      </c>
      <c r="L279" t="s">
        <v>1397</v>
      </c>
    </row>
    <row r="280" spans="1:12">
      <c r="A280" t="s">
        <v>1011</v>
      </c>
      <c r="B280">
        <v>57</v>
      </c>
      <c r="C280" t="s">
        <v>1129</v>
      </c>
      <c r="D280" t="s">
        <v>1010</v>
      </c>
      <c r="E280">
        <f>VLOOKUP(A280,batch_design!$J$1:$L$315,2,0)</f>
        <v>57</v>
      </c>
      <c r="H280" t="s">
        <v>981</v>
      </c>
      <c r="I280">
        <v>32</v>
      </c>
      <c r="J280" t="s">
        <v>1129</v>
      </c>
      <c r="K280" t="s">
        <v>980</v>
      </c>
      <c r="L280" t="s">
        <v>1398</v>
      </c>
    </row>
    <row r="281" spans="1:12">
      <c r="A281" t="s">
        <v>1014</v>
      </c>
      <c r="B281">
        <v>37</v>
      </c>
      <c r="C281" t="s">
        <v>1129</v>
      </c>
      <c r="D281" t="s">
        <v>1013</v>
      </c>
      <c r="E281">
        <f>VLOOKUP(A281,batch_design!$J$1:$L$315,2,0)</f>
        <v>37</v>
      </c>
      <c r="H281" t="s">
        <v>918</v>
      </c>
      <c r="I281">
        <v>42</v>
      </c>
      <c r="J281" t="s">
        <v>1129</v>
      </c>
      <c r="K281" t="s">
        <v>917</v>
      </c>
      <c r="L281" t="s">
        <v>1399</v>
      </c>
    </row>
    <row r="282" spans="1:12">
      <c r="A282" t="s">
        <v>1017</v>
      </c>
      <c r="B282">
        <v>45</v>
      </c>
      <c r="C282" t="s">
        <v>1129</v>
      </c>
      <c r="D282" t="s">
        <v>1016</v>
      </c>
      <c r="E282">
        <f>VLOOKUP(A282,batch_design!$J$1:$L$315,2,0)</f>
        <v>45</v>
      </c>
      <c r="H282" t="s">
        <v>203</v>
      </c>
      <c r="I282">
        <v>25</v>
      </c>
      <c r="J282" t="s">
        <v>1771</v>
      </c>
      <c r="K282" t="s">
        <v>202</v>
      </c>
      <c r="L282" t="s">
        <v>1400</v>
      </c>
    </row>
    <row r="283" spans="1:12">
      <c r="A283" t="s">
        <v>1020</v>
      </c>
      <c r="B283">
        <v>29</v>
      </c>
      <c r="C283" t="s">
        <v>1129</v>
      </c>
      <c r="D283" t="s">
        <v>1019</v>
      </c>
      <c r="E283">
        <f>VLOOKUP(A283,batch_design!$J$1:$L$315,2,0)</f>
        <v>29</v>
      </c>
      <c r="H283" t="s">
        <v>598</v>
      </c>
      <c r="I283">
        <v>42</v>
      </c>
      <c r="J283" t="s">
        <v>1118</v>
      </c>
      <c r="K283" t="s">
        <v>597</v>
      </c>
      <c r="L283" t="s">
        <v>1401</v>
      </c>
    </row>
    <row r="284" spans="1:12">
      <c r="A284" t="s">
        <v>1023</v>
      </c>
      <c r="B284">
        <v>30</v>
      </c>
      <c r="C284" t="s">
        <v>1129</v>
      </c>
      <c r="D284" t="s">
        <v>1022</v>
      </c>
      <c r="E284">
        <f>VLOOKUP(A284,batch_design!$J$1:$L$315,2,0)</f>
        <v>30</v>
      </c>
      <c r="H284" t="s">
        <v>884</v>
      </c>
      <c r="I284">
        <v>48</v>
      </c>
      <c r="J284" t="s">
        <v>1118</v>
      </c>
      <c r="K284" t="s">
        <v>883</v>
      </c>
      <c r="L284" t="s">
        <v>1402</v>
      </c>
    </row>
    <row r="285" spans="1:12">
      <c r="A285" t="s">
        <v>1026</v>
      </c>
      <c r="B285">
        <v>38</v>
      </c>
      <c r="C285" t="s">
        <v>1129</v>
      </c>
      <c r="D285" t="s">
        <v>1025</v>
      </c>
      <c r="E285">
        <f>VLOOKUP(A285,batch_design!$J$1:$L$315,2,0)</f>
        <v>38</v>
      </c>
      <c r="H285" t="s">
        <v>183</v>
      </c>
      <c r="I285">
        <v>63</v>
      </c>
      <c r="J285" t="s">
        <v>479</v>
      </c>
      <c r="K285" t="s">
        <v>182</v>
      </c>
      <c r="L285" t="s">
        <v>1403</v>
      </c>
    </row>
    <row r="286" spans="1:12">
      <c r="A286" t="s">
        <v>1029</v>
      </c>
      <c r="B286">
        <v>29</v>
      </c>
      <c r="C286" t="s">
        <v>1129</v>
      </c>
      <c r="D286" t="s">
        <v>1028</v>
      </c>
      <c r="E286">
        <f>VLOOKUP(A286,batch_design!$J$1:$L$315,2,0)</f>
        <v>29</v>
      </c>
      <c r="H286" t="s">
        <v>76</v>
      </c>
      <c r="I286">
        <v>47</v>
      </c>
      <c r="J286" t="s">
        <v>479</v>
      </c>
      <c r="K286" t="s">
        <v>74</v>
      </c>
      <c r="L286" t="s">
        <v>1404</v>
      </c>
    </row>
    <row r="287" spans="1:12">
      <c r="A287" t="s">
        <v>1032</v>
      </c>
      <c r="B287">
        <v>40</v>
      </c>
      <c r="C287" t="s">
        <v>1129</v>
      </c>
      <c r="D287" t="s">
        <v>1031</v>
      </c>
      <c r="E287">
        <f>VLOOKUP(A287,batch_design!$J$1:$L$315,2,0)</f>
        <v>40</v>
      </c>
      <c r="H287" t="s">
        <v>1115</v>
      </c>
      <c r="I287">
        <v>27</v>
      </c>
      <c r="J287" t="s">
        <v>1129</v>
      </c>
      <c r="K287" t="s">
        <v>1114</v>
      </c>
      <c r="L287" t="s">
        <v>1405</v>
      </c>
    </row>
    <row r="288" spans="1:12">
      <c r="A288" t="s">
        <v>1035</v>
      </c>
      <c r="B288">
        <v>52</v>
      </c>
      <c r="C288" t="s">
        <v>1129</v>
      </c>
      <c r="D288" t="s">
        <v>1034</v>
      </c>
      <c r="E288">
        <f>VLOOKUP(A288,batch_design!$J$1:$L$315,2,0)</f>
        <v>52</v>
      </c>
      <c r="H288" t="s">
        <v>841</v>
      </c>
      <c r="I288">
        <v>26</v>
      </c>
      <c r="J288" t="s">
        <v>1118</v>
      </c>
      <c r="K288" t="s">
        <v>840</v>
      </c>
      <c r="L288" t="s">
        <v>1406</v>
      </c>
    </row>
    <row r="289" spans="1:12">
      <c r="A289" t="s">
        <v>1038</v>
      </c>
      <c r="B289">
        <v>44</v>
      </c>
      <c r="C289" t="s">
        <v>1129</v>
      </c>
      <c r="D289" t="s">
        <v>1037</v>
      </c>
      <c r="E289" t="e">
        <f>VLOOKUP(A289,batch_design!$J$1:$L$315,2,0)</f>
        <v>#N/A</v>
      </c>
      <c r="H289" t="s">
        <v>755</v>
      </c>
      <c r="I289">
        <v>25</v>
      </c>
      <c r="J289" t="s">
        <v>1118</v>
      </c>
      <c r="K289" t="s">
        <v>754</v>
      </c>
      <c r="L289" t="s">
        <v>1407</v>
      </c>
    </row>
    <row r="290" spans="1:12">
      <c r="A290" t="s">
        <v>1041</v>
      </c>
      <c r="B290">
        <v>39</v>
      </c>
      <c r="C290" t="s">
        <v>1129</v>
      </c>
      <c r="D290" t="s">
        <v>1040</v>
      </c>
      <c r="E290">
        <f>VLOOKUP(A290,batch_design!$J$1:$L$315,2,0)</f>
        <v>39</v>
      </c>
      <c r="H290" t="s">
        <v>554</v>
      </c>
      <c r="I290">
        <v>35</v>
      </c>
      <c r="J290" t="s">
        <v>1118</v>
      </c>
      <c r="K290" t="s">
        <v>553</v>
      </c>
      <c r="L290" t="s">
        <v>1408</v>
      </c>
    </row>
    <row r="291" spans="1:12">
      <c r="A291" t="s">
        <v>1043</v>
      </c>
      <c r="B291">
        <v>39</v>
      </c>
      <c r="C291" t="s">
        <v>1129</v>
      </c>
      <c r="D291" t="s">
        <v>1042</v>
      </c>
      <c r="E291">
        <f>VLOOKUP(A291,batch_design!$J$1:$L$315,2,0)</f>
        <v>39</v>
      </c>
      <c r="H291" t="s">
        <v>123</v>
      </c>
      <c r="I291">
        <v>48</v>
      </c>
      <c r="J291" t="s">
        <v>479</v>
      </c>
      <c r="K291" t="s">
        <v>122</v>
      </c>
      <c r="L291" t="s">
        <v>1409</v>
      </c>
    </row>
    <row r="292" spans="1:12">
      <c r="A292" t="s">
        <v>1046</v>
      </c>
      <c r="B292">
        <v>43</v>
      </c>
      <c r="C292" t="s">
        <v>1129</v>
      </c>
      <c r="D292" t="s">
        <v>1045</v>
      </c>
      <c r="E292">
        <f>VLOOKUP(A292,batch_design!$J$1:$L$315,2,0)</f>
        <v>43</v>
      </c>
      <c r="H292" t="s">
        <v>131</v>
      </c>
      <c r="I292">
        <v>63</v>
      </c>
      <c r="J292" t="s">
        <v>481</v>
      </c>
      <c r="K292" t="s">
        <v>130</v>
      </c>
      <c r="L292" t="s">
        <v>1410</v>
      </c>
    </row>
    <row r="293" spans="1:12">
      <c r="A293" t="s">
        <v>1049</v>
      </c>
      <c r="B293">
        <v>25</v>
      </c>
      <c r="C293" t="s">
        <v>1129</v>
      </c>
      <c r="D293" t="s">
        <v>1048</v>
      </c>
      <c r="E293">
        <f>VLOOKUP(A293,batch_design!$J$1:$L$315,2,0)</f>
        <v>25</v>
      </c>
      <c r="H293" t="s">
        <v>86</v>
      </c>
      <c r="I293">
        <v>66</v>
      </c>
      <c r="J293" t="s">
        <v>479</v>
      </c>
      <c r="K293" t="s">
        <v>84</v>
      </c>
      <c r="L293" t="s">
        <v>1411</v>
      </c>
    </row>
    <row r="294" spans="1:12">
      <c r="A294" t="s">
        <v>1052</v>
      </c>
      <c r="B294">
        <v>47</v>
      </c>
      <c r="C294" t="s">
        <v>1129</v>
      </c>
      <c r="D294" t="s">
        <v>1051</v>
      </c>
      <c r="E294">
        <f>VLOOKUP(A294,batch_design!$J$1:$L$315,2,0)</f>
        <v>47</v>
      </c>
      <c r="H294" t="s">
        <v>667</v>
      </c>
      <c r="I294">
        <v>38</v>
      </c>
      <c r="J294" t="s">
        <v>1118</v>
      </c>
      <c r="K294" t="s">
        <v>666</v>
      </c>
      <c r="L294" t="s">
        <v>1412</v>
      </c>
    </row>
    <row r="295" spans="1:12">
      <c r="A295" t="s">
        <v>1055</v>
      </c>
      <c r="B295">
        <v>66</v>
      </c>
      <c r="C295" t="s">
        <v>1129</v>
      </c>
      <c r="D295" t="s">
        <v>1054</v>
      </c>
      <c r="E295">
        <f>VLOOKUP(A295,batch_design!$J$1:$L$315,2,0)</f>
        <v>66</v>
      </c>
      <c r="H295" t="s">
        <v>783</v>
      </c>
      <c r="I295">
        <v>30</v>
      </c>
      <c r="J295" t="s">
        <v>1118</v>
      </c>
      <c r="K295" t="s">
        <v>782</v>
      </c>
      <c r="L295" t="s">
        <v>1413</v>
      </c>
    </row>
    <row r="296" spans="1:12">
      <c r="A296" t="s">
        <v>1058</v>
      </c>
      <c r="B296">
        <v>38</v>
      </c>
      <c r="C296" t="s">
        <v>1129</v>
      </c>
      <c r="D296" t="s">
        <v>1057</v>
      </c>
      <c r="E296">
        <f>VLOOKUP(A296,batch_design!$J$1:$L$315,2,0)</f>
        <v>38</v>
      </c>
      <c r="H296" t="s">
        <v>96</v>
      </c>
      <c r="I296">
        <v>42</v>
      </c>
      <c r="J296" t="s">
        <v>479</v>
      </c>
      <c r="K296" t="s">
        <v>94</v>
      </c>
      <c r="L296" t="s">
        <v>1414</v>
      </c>
    </row>
    <row r="297" spans="1:12">
      <c r="A297" t="s">
        <v>1061</v>
      </c>
      <c r="B297">
        <v>66</v>
      </c>
      <c r="C297" t="s">
        <v>1129</v>
      </c>
      <c r="D297" t="s">
        <v>1060</v>
      </c>
      <c r="E297">
        <f>VLOOKUP(A297,batch_design!$J$1:$L$315,2,0)</f>
        <v>66</v>
      </c>
      <c r="H297" t="s">
        <v>211</v>
      </c>
      <c r="I297">
        <v>57</v>
      </c>
      <c r="J297" t="s">
        <v>493</v>
      </c>
      <c r="K297" t="s">
        <v>210</v>
      </c>
      <c r="L297" t="s">
        <v>1415</v>
      </c>
    </row>
    <row r="298" spans="1:12">
      <c r="A298" t="s">
        <v>1064</v>
      </c>
      <c r="B298">
        <v>29</v>
      </c>
      <c r="C298" t="s">
        <v>1129</v>
      </c>
      <c r="D298" t="s">
        <v>1063</v>
      </c>
      <c r="E298">
        <f>VLOOKUP(A298,batch_design!$J$1:$L$315,2,0)</f>
        <v>29</v>
      </c>
      <c r="H298" t="s">
        <v>1017</v>
      </c>
      <c r="I298">
        <v>45</v>
      </c>
      <c r="J298" t="s">
        <v>1129</v>
      </c>
      <c r="K298" t="s">
        <v>1016</v>
      </c>
      <c r="L298" t="s">
        <v>1416</v>
      </c>
    </row>
    <row r="299" spans="1:12">
      <c r="A299" t="s">
        <v>1067</v>
      </c>
      <c r="B299">
        <v>38</v>
      </c>
      <c r="C299" t="s">
        <v>1129</v>
      </c>
      <c r="D299" t="s">
        <v>1066</v>
      </c>
      <c r="E299">
        <f>VLOOKUP(A299,batch_design!$J$1:$L$315,2,0)</f>
        <v>38</v>
      </c>
      <c r="H299" t="s">
        <v>990</v>
      </c>
      <c r="I299">
        <v>32</v>
      </c>
      <c r="J299" t="s">
        <v>1129</v>
      </c>
      <c r="K299" t="s">
        <v>989</v>
      </c>
      <c r="L299" t="s">
        <v>1417</v>
      </c>
    </row>
    <row r="300" spans="1:12">
      <c r="A300" t="s">
        <v>1070</v>
      </c>
      <c r="B300">
        <v>47</v>
      </c>
      <c r="C300" t="s">
        <v>1129</v>
      </c>
      <c r="D300" t="s">
        <v>1069</v>
      </c>
      <c r="E300">
        <f>VLOOKUP(A300,batch_design!$J$1:$L$315,2,0)</f>
        <v>47</v>
      </c>
      <c r="H300" t="s">
        <v>887</v>
      </c>
      <c r="I300">
        <v>47</v>
      </c>
      <c r="J300" t="s">
        <v>1118</v>
      </c>
      <c r="K300" t="s">
        <v>886</v>
      </c>
      <c r="L300" t="s">
        <v>1418</v>
      </c>
    </row>
    <row r="301" spans="1:12">
      <c r="A301" t="s">
        <v>1073</v>
      </c>
      <c r="B301">
        <v>34</v>
      </c>
      <c r="C301" t="s">
        <v>1129</v>
      </c>
      <c r="D301" t="s">
        <v>1072</v>
      </c>
      <c r="E301">
        <f>VLOOKUP(A301,batch_design!$J$1:$L$315,2,0)</f>
        <v>34</v>
      </c>
      <c r="H301" t="s">
        <v>1076</v>
      </c>
      <c r="I301">
        <v>48</v>
      </c>
      <c r="J301" t="s">
        <v>1129</v>
      </c>
      <c r="K301" t="s">
        <v>1075</v>
      </c>
      <c r="L301" t="s">
        <v>1419</v>
      </c>
    </row>
    <row r="302" spans="1:12">
      <c r="A302" t="s">
        <v>1076</v>
      </c>
      <c r="B302">
        <v>48</v>
      </c>
      <c r="C302" t="s">
        <v>1129</v>
      </c>
      <c r="D302" t="s">
        <v>1075</v>
      </c>
      <c r="E302">
        <f>VLOOKUP(A302,batch_design!$J$1:$L$315,2,0)</f>
        <v>48</v>
      </c>
      <c r="H302" t="s">
        <v>163</v>
      </c>
      <c r="I302">
        <v>44</v>
      </c>
      <c r="J302" t="s">
        <v>479</v>
      </c>
      <c r="K302" t="s">
        <v>162</v>
      </c>
      <c r="L302" t="s">
        <v>1420</v>
      </c>
    </row>
    <row r="303" spans="1:12">
      <c r="A303" t="s">
        <v>1079</v>
      </c>
      <c r="B303">
        <v>42</v>
      </c>
      <c r="C303" t="s">
        <v>1129</v>
      </c>
      <c r="D303" t="s">
        <v>1078</v>
      </c>
      <c r="E303">
        <f>VLOOKUP(A303,batch_design!$J$1:$L$315,2,0)</f>
        <v>42</v>
      </c>
      <c r="H303" t="s">
        <v>106</v>
      </c>
      <c r="I303">
        <v>67</v>
      </c>
      <c r="J303" t="s">
        <v>479</v>
      </c>
      <c r="K303" t="s">
        <v>104</v>
      </c>
      <c r="L303" t="s">
        <v>1421</v>
      </c>
    </row>
    <row r="304" spans="1:12">
      <c r="A304" t="s">
        <v>1082</v>
      </c>
      <c r="B304">
        <v>57</v>
      </c>
      <c r="C304" t="s">
        <v>1129</v>
      </c>
      <c r="D304" t="s">
        <v>1081</v>
      </c>
      <c r="E304">
        <f>VLOOKUP(A304,batch_design!$J$1:$L$315,2,0)</f>
        <v>57</v>
      </c>
      <c r="H304" t="s">
        <v>247</v>
      </c>
      <c r="I304">
        <v>64</v>
      </c>
      <c r="J304" t="s">
        <v>479</v>
      </c>
      <c r="K304" t="s">
        <v>246</v>
      </c>
      <c r="L304" t="s">
        <v>1422</v>
      </c>
    </row>
    <row r="305" spans="1:12">
      <c r="A305" t="s">
        <v>1085</v>
      </c>
      <c r="B305">
        <v>39</v>
      </c>
      <c r="C305" t="s">
        <v>1129</v>
      </c>
      <c r="D305" t="s">
        <v>1084</v>
      </c>
      <c r="E305">
        <f>VLOOKUP(A305,batch_design!$J$1:$L$315,2,0)</f>
        <v>39</v>
      </c>
      <c r="H305" t="s">
        <v>287</v>
      </c>
      <c r="I305">
        <v>55</v>
      </c>
      <c r="J305" t="s">
        <v>479</v>
      </c>
      <c r="K305" t="s">
        <v>286</v>
      </c>
      <c r="L305" t="s">
        <v>1423</v>
      </c>
    </row>
    <row r="306" spans="1:12">
      <c r="A306" t="s">
        <v>1088</v>
      </c>
      <c r="B306">
        <v>46</v>
      </c>
      <c r="C306" t="s">
        <v>1129</v>
      </c>
      <c r="D306" t="s">
        <v>1087</v>
      </c>
      <c r="E306">
        <f>VLOOKUP(A306,batch_design!$J$1:$L$315,2,0)</f>
        <v>46</v>
      </c>
      <c r="H306" t="s">
        <v>869</v>
      </c>
      <c r="I306">
        <v>54</v>
      </c>
      <c r="J306" t="s">
        <v>1118</v>
      </c>
      <c r="K306" t="s">
        <v>868</v>
      </c>
      <c r="L306" t="s">
        <v>1424</v>
      </c>
    </row>
    <row r="307" spans="1:12">
      <c r="A307" t="s">
        <v>1091</v>
      </c>
      <c r="B307">
        <v>29</v>
      </c>
      <c r="C307" t="s">
        <v>1129</v>
      </c>
      <c r="D307" t="s">
        <v>1090</v>
      </c>
      <c r="E307">
        <f>VLOOKUP(A307,batch_design!$J$1:$L$315,2,0)</f>
        <v>29</v>
      </c>
      <c r="H307" t="s">
        <v>1026</v>
      </c>
      <c r="I307">
        <v>38</v>
      </c>
      <c r="J307" t="s">
        <v>1129</v>
      </c>
      <c r="K307" t="s">
        <v>1025</v>
      </c>
      <c r="L307" t="s">
        <v>1425</v>
      </c>
    </row>
    <row r="308" spans="1:12">
      <c r="A308" t="s">
        <v>1094</v>
      </c>
      <c r="B308">
        <v>46</v>
      </c>
      <c r="C308" t="s">
        <v>1129</v>
      </c>
      <c r="D308" t="s">
        <v>1093</v>
      </c>
      <c r="E308">
        <f>VLOOKUP(A308,batch_design!$J$1:$L$315,2,0)</f>
        <v>46</v>
      </c>
      <c r="H308" t="s">
        <v>1029</v>
      </c>
      <c r="I308">
        <v>29</v>
      </c>
      <c r="J308" t="s">
        <v>1129</v>
      </c>
      <c r="K308" t="s">
        <v>1028</v>
      </c>
      <c r="L308" t="s">
        <v>1426</v>
      </c>
    </row>
    <row r="309" spans="1:12">
      <c r="A309" t="s">
        <v>1097</v>
      </c>
      <c r="B309">
        <v>27</v>
      </c>
      <c r="C309" t="s">
        <v>1129</v>
      </c>
      <c r="D309" t="s">
        <v>1096</v>
      </c>
      <c r="E309">
        <f>VLOOKUP(A309,batch_design!$J$1:$L$315,2,0)</f>
        <v>27</v>
      </c>
      <c r="H309" t="s">
        <v>30</v>
      </c>
      <c r="I309">
        <v>18</v>
      </c>
      <c r="J309" t="s">
        <v>491</v>
      </c>
      <c r="K309" t="s">
        <v>28</v>
      </c>
      <c r="L309" t="s">
        <v>1427</v>
      </c>
    </row>
    <row r="310" spans="1:12">
      <c r="A310" t="s">
        <v>1100</v>
      </c>
      <c r="B310">
        <v>22</v>
      </c>
      <c r="C310" t="s">
        <v>1129</v>
      </c>
      <c r="D310" t="s">
        <v>1099</v>
      </c>
      <c r="E310">
        <f>VLOOKUP(A310,batch_design!$J$1:$L$315,2,0)</f>
        <v>22</v>
      </c>
      <c r="H310" t="s">
        <v>881</v>
      </c>
      <c r="I310">
        <v>49</v>
      </c>
      <c r="J310" t="s">
        <v>1118</v>
      </c>
      <c r="K310" t="s">
        <v>880</v>
      </c>
      <c r="L310" t="s">
        <v>1428</v>
      </c>
    </row>
    <row r="311" spans="1:12">
      <c r="A311" t="s">
        <v>1103</v>
      </c>
      <c r="B311">
        <v>45</v>
      </c>
      <c r="C311" t="s">
        <v>1129</v>
      </c>
      <c r="D311" t="s">
        <v>1102</v>
      </c>
      <c r="E311">
        <f>VLOOKUP(A311,batch_design!$J$1:$L$315,2,0)</f>
        <v>45</v>
      </c>
      <c r="H311" t="s">
        <v>375</v>
      </c>
      <c r="I311">
        <v>74</v>
      </c>
      <c r="J311" t="s">
        <v>497</v>
      </c>
      <c r="K311" t="s">
        <v>374</v>
      </c>
      <c r="L311" t="s">
        <v>1429</v>
      </c>
    </row>
    <row r="312" spans="1:12">
      <c r="A312" t="s">
        <v>1106</v>
      </c>
      <c r="B312">
        <v>48</v>
      </c>
      <c r="C312" t="s">
        <v>1129</v>
      </c>
      <c r="D312" t="s">
        <v>1105</v>
      </c>
      <c r="E312">
        <f>VLOOKUP(A312,batch_design!$J$1:$L$315,2,0)</f>
        <v>48</v>
      </c>
      <c r="H312" t="s">
        <v>701</v>
      </c>
      <c r="I312">
        <v>27</v>
      </c>
      <c r="J312" t="s">
        <v>1118</v>
      </c>
      <c r="K312" t="s">
        <v>700</v>
      </c>
      <c r="L312" t="s">
        <v>1430</v>
      </c>
    </row>
    <row r="313" spans="1:12">
      <c r="A313" t="s">
        <v>1109</v>
      </c>
      <c r="B313">
        <v>45</v>
      </c>
      <c r="C313" t="s">
        <v>1129</v>
      </c>
      <c r="D313" t="s">
        <v>1108</v>
      </c>
      <c r="E313">
        <f>VLOOKUP(A313,batch_design!$J$1:$L$315,2,0)</f>
        <v>45</v>
      </c>
      <c r="H313" t="s">
        <v>1038</v>
      </c>
      <c r="I313">
        <v>44</v>
      </c>
      <c r="J313" t="s">
        <v>1129</v>
      </c>
      <c r="K313" t="s">
        <v>1037</v>
      </c>
      <c r="L313" t="s">
        <v>1431</v>
      </c>
    </row>
    <row r="314" spans="1:12">
      <c r="A314" t="s">
        <v>1112</v>
      </c>
      <c r="B314">
        <v>46</v>
      </c>
      <c r="C314" t="s">
        <v>1129</v>
      </c>
      <c r="D314" t="s">
        <v>1111</v>
      </c>
      <c r="E314">
        <f>VLOOKUP(A314,batch_design!$J$1:$L$315,2,0)</f>
        <v>46</v>
      </c>
      <c r="H314" t="s">
        <v>81</v>
      </c>
      <c r="I314">
        <v>41</v>
      </c>
      <c r="J314" s="20" t="s">
        <v>1777</v>
      </c>
      <c r="K314" t="s">
        <v>79</v>
      </c>
      <c r="L314" t="s">
        <v>1432</v>
      </c>
    </row>
    <row r="315" spans="1:12">
      <c r="A315" t="s">
        <v>1115</v>
      </c>
      <c r="B315">
        <v>27</v>
      </c>
      <c r="C315" t="s">
        <v>1129</v>
      </c>
      <c r="D315" t="s">
        <v>1114</v>
      </c>
      <c r="E315">
        <f>VLOOKUP(A315,batch_design!$J$1:$L$315,2,0)</f>
        <v>27</v>
      </c>
      <c r="H315" t="s">
        <v>299</v>
      </c>
      <c r="I315">
        <v>63</v>
      </c>
      <c r="J315" t="s">
        <v>479</v>
      </c>
      <c r="K315" t="s">
        <v>298</v>
      </c>
      <c r="L315" t="s">
        <v>1433</v>
      </c>
    </row>
  </sheetData>
  <phoneticPr fontId="12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23"/>
  <sheetViews>
    <sheetView topLeftCell="A240" workbookViewId="0">
      <selection activeCell="A257" sqref="A257"/>
    </sheetView>
  </sheetViews>
  <sheetFormatPr defaultColWidth="8.875" defaultRowHeight="14.25"/>
  <cols>
    <col min="1" max="1" width="10.125" customWidth="1"/>
    <col min="5" max="5" width="9" style="2"/>
    <col min="14" max="14" width="8.875" style="2"/>
  </cols>
  <sheetData>
    <row r="1" spans="1:14">
      <c r="A1" t="s">
        <v>5</v>
      </c>
      <c r="B1" t="s">
        <v>1116</v>
      </c>
      <c r="C1" t="s">
        <v>6</v>
      </c>
      <c r="D1" t="s">
        <v>1434</v>
      </c>
      <c r="E1" s="2" t="s">
        <v>1117</v>
      </c>
      <c r="J1" t="s">
        <v>5</v>
      </c>
      <c r="K1" t="s">
        <v>1116</v>
      </c>
      <c r="L1" t="s">
        <v>1117</v>
      </c>
    </row>
    <row r="2" spans="1:14">
      <c r="A2" t="s">
        <v>856</v>
      </c>
      <c r="B2">
        <v>24</v>
      </c>
      <c r="C2" t="s">
        <v>1118</v>
      </c>
      <c r="D2">
        <v>1</v>
      </c>
      <c r="E2" s="2" t="s">
        <v>1435</v>
      </c>
      <c r="J2" t="s">
        <v>856</v>
      </c>
      <c r="K2">
        <v>24</v>
      </c>
      <c r="L2" t="s">
        <v>1119</v>
      </c>
    </row>
    <row r="3" spans="1:14">
      <c r="A3" t="s">
        <v>434</v>
      </c>
      <c r="B3">
        <v>60</v>
      </c>
      <c r="C3" t="s">
        <v>479</v>
      </c>
      <c r="D3">
        <v>1</v>
      </c>
      <c r="E3" s="2" t="s">
        <v>1436</v>
      </c>
      <c r="J3" t="s">
        <v>434</v>
      </c>
      <c r="K3">
        <v>60</v>
      </c>
      <c r="L3" s="6" t="s">
        <v>1120</v>
      </c>
      <c r="M3" t="s">
        <v>1437</v>
      </c>
      <c r="N3" s="2" t="s">
        <v>1421</v>
      </c>
    </row>
    <row r="4" spans="1:14">
      <c r="A4" t="s">
        <v>415</v>
      </c>
      <c r="B4">
        <v>71</v>
      </c>
      <c r="C4" t="s">
        <v>479</v>
      </c>
      <c r="D4">
        <v>1</v>
      </c>
      <c r="E4" s="2" t="s">
        <v>1438</v>
      </c>
      <c r="J4" t="s">
        <v>415</v>
      </c>
      <c r="K4">
        <v>71</v>
      </c>
      <c r="L4" s="6" t="s">
        <v>1121</v>
      </c>
      <c r="M4" t="s">
        <v>1437</v>
      </c>
      <c r="N4" s="2" t="s">
        <v>1422</v>
      </c>
    </row>
    <row r="5" spans="1:14">
      <c r="A5" t="s">
        <v>56</v>
      </c>
      <c r="B5">
        <v>50</v>
      </c>
      <c r="C5" t="s">
        <v>479</v>
      </c>
      <c r="D5">
        <v>1</v>
      </c>
      <c r="E5" s="2" t="s">
        <v>1439</v>
      </c>
      <c r="J5" t="s">
        <v>56</v>
      </c>
      <c r="K5">
        <v>50</v>
      </c>
      <c r="L5" t="s">
        <v>1122</v>
      </c>
    </row>
    <row r="6" spans="1:14">
      <c r="A6" t="s">
        <v>683</v>
      </c>
      <c r="B6">
        <v>36</v>
      </c>
      <c r="C6" t="s">
        <v>1118</v>
      </c>
      <c r="D6">
        <v>1</v>
      </c>
      <c r="E6" s="2" t="s">
        <v>1440</v>
      </c>
      <c r="J6" t="s">
        <v>683</v>
      </c>
      <c r="K6">
        <v>36</v>
      </c>
      <c r="L6" t="s">
        <v>1123</v>
      </c>
    </row>
    <row r="7" spans="1:14">
      <c r="A7" t="s">
        <v>823</v>
      </c>
      <c r="B7">
        <v>26</v>
      </c>
      <c r="C7" t="s">
        <v>1118</v>
      </c>
      <c r="D7">
        <v>1</v>
      </c>
      <c r="E7" s="2" t="s">
        <v>1441</v>
      </c>
      <c r="J7" t="s">
        <v>823</v>
      </c>
      <c r="K7">
        <v>26</v>
      </c>
      <c r="L7" t="s">
        <v>1124</v>
      </c>
    </row>
    <row r="8" spans="1:14">
      <c r="A8" t="s">
        <v>259</v>
      </c>
      <c r="B8">
        <v>41</v>
      </c>
      <c r="C8" t="s">
        <v>485</v>
      </c>
      <c r="D8">
        <v>1</v>
      </c>
      <c r="E8" s="2" t="s">
        <v>1442</v>
      </c>
      <c r="J8" t="s">
        <v>259</v>
      </c>
      <c r="K8">
        <v>41</v>
      </c>
      <c r="L8" t="s">
        <v>1125</v>
      </c>
    </row>
    <row r="9" spans="1:14">
      <c r="A9" t="s">
        <v>323</v>
      </c>
      <c r="B9">
        <v>51</v>
      </c>
      <c r="C9" t="s">
        <v>481</v>
      </c>
      <c r="D9">
        <v>1</v>
      </c>
      <c r="E9" s="2" t="s">
        <v>1443</v>
      </c>
      <c r="J9" t="s">
        <v>323</v>
      </c>
      <c r="K9">
        <v>51</v>
      </c>
      <c r="L9" t="s">
        <v>1126</v>
      </c>
    </row>
    <row r="10" spans="1:14">
      <c r="A10" t="s">
        <v>586</v>
      </c>
      <c r="B10">
        <v>45</v>
      </c>
      <c r="C10" t="s">
        <v>1118</v>
      </c>
      <c r="D10">
        <v>1</v>
      </c>
      <c r="E10" s="2" t="s">
        <v>1444</v>
      </c>
      <c r="J10" t="s">
        <v>586</v>
      </c>
      <c r="K10">
        <v>45</v>
      </c>
      <c r="L10" t="s">
        <v>1127</v>
      </c>
    </row>
    <row r="11" spans="1:14">
      <c r="A11" t="s">
        <v>710</v>
      </c>
      <c r="B11">
        <v>47</v>
      </c>
      <c r="C11" t="s">
        <v>1118</v>
      </c>
      <c r="D11">
        <v>1</v>
      </c>
      <c r="E11" s="2" t="s">
        <v>1445</v>
      </c>
      <c r="J11" t="s">
        <v>710</v>
      </c>
      <c r="K11">
        <v>47</v>
      </c>
      <c r="L11" t="s">
        <v>1128</v>
      </c>
    </row>
    <row r="12" spans="1:14">
      <c r="A12" t="s">
        <v>1082</v>
      </c>
      <c r="B12">
        <v>57</v>
      </c>
      <c r="C12" t="s">
        <v>1129</v>
      </c>
      <c r="D12">
        <v>1</v>
      </c>
      <c r="E12" s="2" t="s">
        <v>1446</v>
      </c>
      <c r="J12" t="s">
        <v>1082</v>
      </c>
      <c r="K12">
        <v>57</v>
      </c>
      <c r="L12" t="s">
        <v>1130</v>
      </c>
    </row>
    <row r="13" spans="1:14">
      <c r="A13" t="s">
        <v>695</v>
      </c>
      <c r="B13">
        <v>23</v>
      </c>
      <c r="C13" t="s">
        <v>1118</v>
      </c>
      <c r="D13">
        <v>1</v>
      </c>
      <c r="E13" s="2" t="s">
        <v>1447</v>
      </c>
      <c r="J13" t="s">
        <v>695</v>
      </c>
      <c r="K13">
        <v>23</v>
      </c>
      <c r="L13" t="s">
        <v>1131</v>
      </c>
    </row>
    <row r="14" spans="1:14">
      <c r="A14" t="s">
        <v>1094</v>
      </c>
      <c r="B14">
        <v>46</v>
      </c>
      <c r="C14" t="s">
        <v>1129</v>
      </c>
      <c r="D14">
        <v>1</v>
      </c>
      <c r="E14" s="2" t="s">
        <v>1448</v>
      </c>
      <c r="J14" t="s">
        <v>1094</v>
      </c>
      <c r="K14">
        <v>46</v>
      </c>
      <c r="L14" t="s">
        <v>1132</v>
      </c>
    </row>
    <row r="15" spans="1:14" s="1" customFormat="1">
      <c r="D15" s="1">
        <v>1</v>
      </c>
      <c r="E15" s="5" t="s">
        <v>1449</v>
      </c>
      <c r="F15" s="1" t="s">
        <v>1450</v>
      </c>
      <c r="N15" s="5" t="s">
        <v>1425</v>
      </c>
    </row>
    <row r="16" spans="1:14">
      <c r="A16" t="s">
        <v>872</v>
      </c>
      <c r="B16">
        <v>30</v>
      </c>
      <c r="C16" t="s">
        <v>1118</v>
      </c>
      <c r="D16">
        <v>2</v>
      </c>
      <c r="E16" s="2" t="s">
        <v>1451</v>
      </c>
      <c r="J16" t="s">
        <v>872</v>
      </c>
      <c r="K16">
        <v>30</v>
      </c>
      <c r="L16" t="s">
        <v>1133</v>
      </c>
    </row>
    <row r="17" spans="1:12">
      <c r="A17" t="s">
        <v>909</v>
      </c>
      <c r="B17">
        <v>43</v>
      </c>
      <c r="C17" t="s">
        <v>1129</v>
      </c>
      <c r="D17">
        <v>2</v>
      </c>
      <c r="E17" s="2" t="s">
        <v>1452</v>
      </c>
      <c r="J17" t="s">
        <v>909</v>
      </c>
      <c r="K17">
        <v>43</v>
      </c>
      <c r="L17" t="s">
        <v>1134</v>
      </c>
    </row>
    <row r="18" spans="1:12">
      <c r="A18" t="s">
        <v>505</v>
      </c>
      <c r="B18">
        <v>57</v>
      </c>
      <c r="C18" t="s">
        <v>1118</v>
      </c>
      <c r="D18">
        <v>2</v>
      </c>
      <c r="E18" s="2" t="s">
        <v>1453</v>
      </c>
      <c r="J18" t="s">
        <v>505</v>
      </c>
      <c r="K18">
        <v>57</v>
      </c>
      <c r="L18" t="s">
        <v>1135</v>
      </c>
    </row>
    <row r="19" spans="1:12">
      <c r="A19" t="s">
        <v>948</v>
      </c>
      <c r="B19">
        <v>33</v>
      </c>
      <c r="C19" t="s">
        <v>1129</v>
      </c>
      <c r="D19">
        <v>2</v>
      </c>
      <c r="E19" s="2" t="s">
        <v>1454</v>
      </c>
      <c r="J19" t="s">
        <v>948</v>
      </c>
      <c r="K19">
        <v>33</v>
      </c>
      <c r="L19" t="s">
        <v>1136</v>
      </c>
    </row>
    <row r="20" spans="1:12">
      <c r="A20" t="s">
        <v>805</v>
      </c>
      <c r="B20">
        <v>27</v>
      </c>
      <c r="C20" t="s">
        <v>1118</v>
      </c>
      <c r="D20">
        <v>2</v>
      </c>
      <c r="E20" s="2" t="s">
        <v>1455</v>
      </c>
      <c r="J20" t="s">
        <v>805</v>
      </c>
      <c r="K20">
        <v>27</v>
      </c>
      <c r="L20" t="s">
        <v>1137</v>
      </c>
    </row>
    <row r="21" spans="1:12">
      <c r="A21" t="s">
        <v>670</v>
      </c>
      <c r="B21">
        <v>46</v>
      </c>
      <c r="C21" t="s">
        <v>1118</v>
      </c>
      <c r="D21">
        <v>2</v>
      </c>
      <c r="E21" s="2" t="s">
        <v>1456</v>
      </c>
      <c r="J21" t="s">
        <v>670</v>
      </c>
      <c r="K21">
        <v>46</v>
      </c>
      <c r="L21" t="s">
        <v>1138</v>
      </c>
    </row>
    <row r="22" spans="1:12">
      <c r="A22" t="s">
        <v>975</v>
      </c>
      <c r="B22">
        <v>22</v>
      </c>
      <c r="C22" t="s">
        <v>1129</v>
      </c>
      <c r="D22">
        <v>2</v>
      </c>
      <c r="E22" s="2" t="s">
        <v>1457</v>
      </c>
      <c r="J22" t="s">
        <v>975</v>
      </c>
      <c r="K22">
        <v>22</v>
      </c>
      <c r="L22" t="s">
        <v>1139</v>
      </c>
    </row>
    <row r="23" spans="1:12">
      <c r="A23" t="s">
        <v>1112</v>
      </c>
      <c r="B23">
        <v>46</v>
      </c>
      <c r="C23" t="s">
        <v>1129</v>
      </c>
      <c r="D23">
        <v>2</v>
      </c>
      <c r="E23" s="2" t="s">
        <v>1458</v>
      </c>
      <c r="J23" t="s">
        <v>1112</v>
      </c>
      <c r="K23">
        <v>46</v>
      </c>
      <c r="L23" t="s">
        <v>1140</v>
      </c>
    </row>
    <row r="24" spans="1:12">
      <c r="A24" t="s">
        <v>235</v>
      </c>
      <c r="B24">
        <v>40</v>
      </c>
      <c r="C24" t="s">
        <v>497</v>
      </c>
      <c r="D24">
        <v>2</v>
      </c>
      <c r="E24" s="2" t="s">
        <v>1459</v>
      </c>
      <c r="J24" t="s">
        <v>235</v>
      </c>
      <c r="K24">
        <v>40</v>
      </c>
      <c r="L24" t="s">
        <v>1141</v>
      </c>
    </row>
    <row r="25" spans="1:12">
      <c r="A25" t="s">
        <v>526</v>
      </c>
      <c r="B25">
        <v>63</v>
      </c>
      <c r="C25" t="s">
        <v>1118</v>
      </c>
      <c r="D25">
        <v>2</v>
      </c>
      <c r="E25" s="2" t="s">
        <v>1460</v>
      </c>
      <c r="J25" t="s">
        <v>526</v>
      </c>
      <c r="K25">
        <v>63</v>
      </c>
      <c r="L25" t="s">
        <v>1142</v>
      </c>
    </row>
    <row r="26" spans="1:12">
      <c r="A26" t="s">
        <v>215</v>
      </c>
      <c r="B26">
        <v>68</v>
      </c>
      <c r="C26" t="s">
        <v>479</v>
      </c>
      <c r="D26">
        <v>2</v>
      </c>
      <c r="E26" s="2" t="s">
        <v>1461</v>
      </c>
      <c r="J26" t="s">
        <v>215</v>
      </c>
      <c r="K26">
        <v>68</v>
      </c>
      <c r="L26" t="s">
        <v>1143</v>
      </c>
    </row>
    <row r="27" spans="1:12">
      <c r="A27" t="s">
        <v>1032</v>
      </c>
      <c r="B27">
        <v>40</v>
      </c>
      <c r="C27" t="s">
        <v>1129</v>
      </c>
      <c r="D27">
        <v>2</v>
      </c>
      <c r="E27" s="2" t="s">
        <v>1462</v>
      </c>
      <c r="J27" t="s">
        <v>1032</v>
      </c>
      <c r="K27">
        <v>40</v>
      </c>
      <c r="L27" t="s">
        <v>1144</v>
      </c>
    </row>
    <row r="28" spans="1:12">
      <c r="A28" t="s">
        <v>817</v>
      </c>
      <c r="B28">
        <v>34</v>
      </c>
      <c r="C28" t="s">
        <v>1118</v>
      </c>
      <c r="D28">
        <v>2</v>
      </c>
      <c r="E28" s="2" t="s">
        <v>1463</v>
      </c>
      <c r="J28" t="s">
        <v>817</v>
      </c>
      <c r="K28">
        <v>34</v>
      </c>
      <c r="L28" t="s">
        <v>1145</v>
      </c>
    </row>
    <row r="29" spans="1:12">
      <c r="A29" t="s">
        <v>199</v>
      </c>
      <c r="B29">
        <v>65</v>
      </c>
      <c r="C29" t="s">
        <v>479</v>
      </c>
      <c r="D29">
        <v>2</v>
      </c>
      <c r="E29" s="2" t="s">
        <v>1464</v>
      </c>
      <c r="J29" t="s">
        <v>199</v>
      </c>
      <c r="K29">
        <v>65</v>
      </c>
      <c r="L29" t="s">
        <v>1146</v>
      </c>
    </row>
    <row r="30" spans="1:12">
      <c r="A30" t="s">
        <v>66</v>
      </c>
      <c r="B30">
        <v>45</v>
      </c>
      <c r="C30" t="s">
        <v>479</v>
      </c>
      <c r="D30">
        <v>3</v>
      </c>
      <c r="E30" s="2" t="s">
        <v>1465</v>
      </c>
      <c r="J30" t="s">
        <v>66</v>
      </c>
      <c r="K30">
        <v>45</v>
      </c>
      <c r="L30" t="s">
        <v>1147</v>
      </c>
    </row>
    <row r="31" spans="1:12">
      <c r="A31" t="s">
        <v>1055</v>
      </c>
      <c r="B31">
        <v>66</v>
      </c>
      <c r="C31" t="s">
        <v>1129</v>
      </c>
      <c r="D31">
        <v>3</v>
      </c>
      <c r="E31" s="2" t="s">
        <v>1466</v>
      </c>
      <c r="J31" t="s">
        <v>1055</v>
      </c>
      <c r="K31">
        <v>66</v>
      </c>
      <c r="L31" t="s">
        <v>1148</v>
      </c>
    </row>
    <row r="32" spans="1:12">
      <c r="A32" t="s">
        <v>607</v>
      </c>
      <c r="B32">
        <v>28</v>
      </c>
      <c r="C32" t="s">
        <v>1118</v>
      </c>
      <c r="D32">
        <v>3</v>
      </c>
      <c r="E32" s="2" t="s">
        <v>1467</v>
      </c>
      <c r="J32" t="s">
        <v>607</v>
      </c>
      <c r="K32">
        <v>28</v>
      </c>
      <c r="L32" t="s">
        <v>1149</v>
      </c>
    </row>
    <row r="33" spans="1:14">
      <c r="A33" t="s">
        <v>454</v>
      </c>
      <c r="B33">
        <v>75</v>
      </c>
      <c r="C33" t="s">
        <v>481</v>
      </c>
      <c r="D33">
        <v>3</v>
      </c>
      <c r="E33" s="2" t="s">
        <v>1468</v>
      </c>
      <c r="J33" t="s">
        <v>454</v>
      </c>
      <c r="K33">
        <v>75</v>
      </c>
      <c r="L33" t="s">
        <v>1150</v>
      </c>
    </row>
    <row r="34" spans="1:14">
      <c r="A34" t="s">
        <v>814</v>
      </c>
      <c r="B34">
        <v>32</v>
      </c>
      <c r="C34" t="s">
        <v>1118</v>
      </c>
      <c r="D34">
        <v>3</v>
      </c>
      <c r="E34" s="2" t="s">
        <v>1469</v>
      </c>
      <c r="J34" t="s">
        <v>814</v>
      </c>
      <c r="K34">
        <v>32</v>
      </c>
      <c r="L34" t="s">
        <v>1151</v>
      </c>
    </row>
    <row r="35" spans="1:14">
      <c r="A35" t="s">
        <v>542</v>
      </c>
      <c r="B35">
        <v>27</v>
      </c>
      <c r="C35" t="s">
        <v>1118</v>
      </c>
      <c r="D35">
        <v>3</v>
      </c>
      <c r="E35" s="2" t="s">
        <v>1470</v>
      </c>
      <c r="J35" t="s">
        <v>542</v>
      </c>
      <c r="K35">
        <v>27</v>
      </c>
      <c r="L35" t="s">
        <v>1152</v>
      </c>
    </row>
    <row r="36" spans="1:14">
      <c r="A36" t="s">
        <v>307</v>
      </c>
      <c r="B36">
        <v>50</v>
      </c>
      <c r="C36" t="s">
        <v>479</v>
      </c>
      <c r="D36">
        <v>3</v>
      </c>
      <c r="E36" s="2" t="s">
        <v>1471</v>
      </c>
      <c r="J36" t="s">
        <v>307</v>
      </c>
      <c r="K36">
        <v>50</v>
      </c>
      <c r="L36" t="s">
        <v>1153</v>
      </c>
      <c r="M36" t="s">
        <v>1472</v>
      </c>
    </row>
    <row r="37" spans="1:14">
      <c r="A37" t="s">
        <v>536</v>
      </c>
      <c r="B37">
        <v>33</v>
      </c>
      <c r="C37" t="s">
        <v>1118</v>
      </c>
      <c r="D37">
        <v>3</v>
      </c>
      <c r="E37" s="2" t="s">
        <v>1473</v>
      </c>
      <c r="J37" t="s">
        <v>536</v>
      </c>
      <c r="K37">
        <v>33</v>
      </c>
      <c r="L37" t="s">
        <v>1154</v>
      </c>
    </row>
    <row r="38" spans="1:14">
      <c r="A38" t="s">
        <v>777</v>
      </c>
      <c r="B38">
        <v>37</v>
      </c>
      <c r="C38" t="s">
        <v>1118</v>
      </c>
      <c r="D38">
        <v>3</v>
      </c>
      <c r="E38" s="2" t="s">
        <v>1474</v>
      </c>
      <c r="J38" t="s">
        <v>777</v>
      </c>
      <c r="K38">
        <v>37</v>
      </c>
      <c r="L38" t="s">
        <v>1155</v>
      </c>
    </row>
    <row r="39" spans="1:14">
      <c r="A39" t="s">
        <v>303</v>
      </c>
      <c r="B39">
        <v>31</v>
      </c>
      <c r="C39" t="s">
        <v>483</v>
      </c>
      <c r="D39">
        <v>3</v>
      </c>
      <c r="E39" s="2" t="s">
        <v>1475</v>
      </c>
      <c r="J39" t="s">
        <v>303</v>
      </c>
      <c r="K39">
        <v>31</v>
      </c>
      <c r="L39" s="6" t="s">
        <v>1156</v>
      </c>
      <c r="M39" t="s">
        <v>1437</v>
      </c>
    </row>
    <row r="40" spans="1:14">
      <c r="A40" t="s">
        <v>111</v>
      </c>
      <c r="B40">
        <v>51</v>
      </c>
      <c r="C40" t="s">
        <v>479</v>
      </c>
      <c r="D40">
        <v>3</v>
      </c>
      <c r="E40" s="2" t="s">
        <v>1476</v>
      </c>
      <c r="J40" t="s">
        <v>111</v>
      </c>
      <c r="K40">
        <v>51</v>
      </c>
      <c r="L40" t="s">
        <v>1157</v>
      </c>
    </row>
    <row r="41" spans="1:14">
      <c r="A41" t="s">
        <v>768</v>
      </c>
      <c r="B41">
        <v>20</v>
      </c>
      <c r="C41" t="s">
        <v>1118</v>
      </c>
      <c r="D41">
        <v>3</v>
      </c>
      <c r="E41" s="2" t="s">
        <v>1477</v>
      </c>
      <c r="J41" t="s">
        <v>768</v>
      </c>
      <c r="K41">
        <v>20</v>
      </c>
      <c r="L41" t="s">
        <v>1158</v>
      </c>
    </row>
    <row r="42" spans="1:14">
      <c r="A42" t="s">
        <v>438</v>
      </c>
      <c r="B42">
        <v>56</v>
      </c>
      <c r="C42" t="s">
        <v>481</v>
      </c>
      <c r="D42">
        <v>3</v>
      </c>
      <c r="E42" s="2" t="s">
        <v>1478</v>
      </c>
      <c r="J42" t="s">
        <v>438</v>
      </c>
      <c r="K42">
        <v>56</v>
      </c>
      <c r="L42" t="s">
        <v>1159</v>
      </c>
    </row>
    <row r="43" spans="1:14" s="1" customFormat="1">
      <c r="E43" s="5" t="s">
        <v>1479</v>
      </c>
      <c r="F43" s="1" t="s">
        <v>1450</v>
      </c>
      <c r="J43"/>
      <c r="L43"/>
      <c r="N43" s="5" t="s">
        <v>1480</v>
      </c>
    </row>
    <row r="44" spans="1:14">
      <c r="A44" t="s">
        <v>557</v>
      </c>
      <c r="B44">
        <v>44</v>
      </c>
      <c r="C44" t="s">
        <v>1118</v>
      </c>
      <c r="D44">
        <v>4</v>
      </c>
      <c r="E44" s="2" t="s">
        <v>1481</v>
      </c>
      <c r="J44" t="s">
        <v>557</v>
      </c>
      <c r="K44">
        <v>44</v>
      </c>
      <c r="L44" t="s">
        <v>1160</v>
      </c>
    </row>
    <row r="45" spans="1:14">
      <c r="A45" t="s">
        <v>613</v>
      </c>
      <c r="B45">
        <v>33</v>
      </c>
      <c r="C45" t="s">
        <v>1118</v>
      </c>
      <c r="D45">
        <v>4</v>
      </c>
      <c r="E45" s="2" t="s">
        <v>1482</v>
      </c>
      <c r="J45" t="s">
        <v>613</v>
      </c>
      <c r="K45">
        <v>33</v>
      </c>
      <c r="L45" t="s">
        <v>1161</v>
      </c>
    </row>
    <row r="46" spans="1:14">
      <c r="A46" t="s">
        <v>725</v>
      </c>
      <c r="B46">
        <v>31</v>
      </c>
      <c r="C46" t="s">
        <v>1118</v>
      </c>
      <c r="D46">
        <v>4</v>
      </c>
      <c r="E46" s="2" t="s">
        <v>1483</v>
      </c>
      <c r="J46" t="s">
        <v>725</v>
      </c>
      <c r="K46">
        <v>31</v>
      </c>
      <c r="L46" t="s">
        <v>1162</v>
      </c>
    </row>
    <row r="47" spans="1:14">
      <c r="A47" t="s">
        <v>752</v>
      </c>
      <c r="B47">
        <v>41</v>
      </c>
      <c r="C47" t="s">
        <v>1118</v>
      </c>
      <c r="D47">
        <v>4</v>
      </c>
      <c r="E47" s="2" t="s">
        <v>1484</v>
      </c>
      <c r="J47" t="s">
        <v>752</v>
      </c>
      <c r="K47">
        <v>41</v>
      </c>
      <c r="L47" t="s">
        <v>1163</v>
      </c>
    </row>
    <row r="48" spans="1:14">
      <c r="A48" t="s">
        <v>21</v>
      </c>
      <c r="B48">
        <v>56</v>
      </c>
      <c r="C48" t="s">
        <v>479</v>
      </c>
      <c r="D48">
        <v>4</v>
      </c>
      <c r="E48" s="2" t="s">
        <v>1485</v>
      </c>
      <c r="J48" t="s">
        <v>21</v>
      </c>
      <c r="K48">
        <v>56</v>
      </c>
      <c r="L48" t="s">
        <v>1164</v>
      </c>
    </row>
    <row r="49" spans="1:12">
      <c r="A49" t="s">
        <v>175</v>
      </c>
      <c r="B49">
        <v>51</v>
      </c>
      <c r="C49" t="s">
        <v>479</v>
      </c>
      <c r="D49">
        <v>4</v>
      </c>
      <c r="E49" s="2" t="s">
        <v>1486</v>
      </c>
      <c r="J49" t="s">
        <v>175</v>
      </c>
      <c r="K49">
        <v>51</v>
      </c>
      <c r="L49" t="s">
        <v>1165</v>
      </c>
    </row>
    <row r="50" spans="1:12">
      <c r="A50" t="s">
        <v>704</v>
      </c>
      <c r="B50">
        <v>33</v>
      </c>
      <c r="C50" t="s">
        <v>1118</v>
      </c>
      <c r="D50">
        <v>4</v>
      </c>
      <c r="E50" s="2" t="s">
        <v>1487</v>
      </c>
      <c r="J50" t="s">
        <v>704</v>
      </c>
      <c r="K50">
        <v>33</v>
      </c>
      <c r="L50" t="s">
        <v>1166</v>
      </c>
    </row>
    <row r="51" spans="1:12">
      <c r="A51" t="s">
        <v>263</v>
      </c>
      <c r="B51">
        <v>65</v>
      </c>
      <c r="C51" t="s">
        <v>479</v>
      </c>
      <c r="D51">
        <v>4</v>
      </c>
      <c r="E51" s="2" t="s">
        <v>1488</v>
      </c>
      <c r="J51" t="s">
        <v>263</v>
      </c>
      <c r="K51">
        <v>65</v>
      </c>
      <c r="L51" t="s">
        <v>1167</v>
      </c>
    </row>
    <row r="52" spans="1:12">
      <c r="A52" t="s">
        <v>457</v>
      </c>
      <c r="B52">
        <v>64</v>
      </c>
      <c r="C52" t="s">
        <v>479</v>
      </c>
      <c r="D52">
        <v>4</v>
      </c>
      <c r="E52" s="2" t="s">
        <v>1489</v>
      </c>
      <c r="J52" t="s">
        <v>457</v>
      </c>
      <c r="K52">
        <v>64</v>
      </c>
      <c r="L52" t="s">
        <v>1168</v>
      </c>
    </row>
    <row r="53" spans="1:12">
      <c r="A53" t="s">
        <v>1109</v>
      </c>
      <c r="B53">
        <v>45</v>
      </c>
      <c r="C53" t="s">
        <v>1129</v>
      </c>
      <c r="D53">
        <v>4</v>
      </c>
      <c r="E53" s="2" t="s">
        <v>1490</v>
      </c>
      <c r="J53" t="s">
        <v>1109</v>
      </c>
      <c r="K53">
        <v>45</v>
      </c>
      <c r="L53" t="s">
        <v>1169</v>
      </c>
    </row>
    <row r="54" spans="1:12">
      <c r="A54" t="s">
        <v>758</v>
      </c>
      <c r="B54">
        <v>42</v>
      </c>
      <c r="C54" t="s">
        <v>1118</v>
      </c>
      <c r="D54">
        <v>4</v>
      </c>
      <c r="E54" s="2" t="s">
        <v>1491</v>
      </c>
      <c r="J54" t="s">
        <v>758</v>
      </c>
      <c r="K54">
        <v>42</v>
      </c>
      <c r="L54" t="s">
        <v>1170</v>
      </c>
    </row>
    <row r="55" spans="1:12">
      <c r="A55" t="s">
        <v>159</v>
      </c>
      <c r="B55">
        <v>25</v>
      </c>
      <c r="C55" t="s">
        <v>495</v>
      </c>
      <c r="D55">
        <v>4</v>
      </c>
      <c r="E55" s="2" t="s">
        <v>1492</v>
      </c>
      <c r="J55" t="s">
        <v>159</v>
      </c>
      <c r="K55">
        <v>25</v>
      </c>
      <c r="L55" t="s">
        <v>1171</v>
      </c>
    </row>
    <row r="56" spans="1:12">
      <c r="A56" t="s">
        <v>207</v>
      </c>
      <c r="B56">
        <v>30</v>
      </c>
      <c r="C56" t="s">
        <v>487</v>
      </c>
      <c r="D56">
        <v>4</v>
      </c>
      <c r="E56" s="2" t="s">
        <v>1493</v>
      </c>
      <c r="J56" t="s">
        <v>207</v>
      </c>
      <c r="K56">
        <v>30</v>
      </c>
      <c r="L56" t="s">
        <v>1172</v>
      </c>
    </row>
    <row r="57" spans="1:12">
      <c r="A57" t="s">
        <v>251</v>
      </c>
      <c r="B57">
        <v>69</v>
      </c>
      <c r="C57" t="s">
        <v>485</v>
      </c>
      <c r="D57">
        <v>4</v>
      </c>
      <c r="E57" s="2" t="s">
        <v>1494</v>
      </c>
      <c r="J57" t="s">
        <v>251</v>
      </c>
      <c r="K57">
        <v>69</v>
      </c>
      <c r="L57" t="s">
        <v>1173</v>
      </c>
    </row>
    <row r="58" spans="1:12">
      <c r="A58" t="s">
        <v>1041</v>
      </c>
      <c r="B58">
        <v>39</v>
      </c>
      <c r="C58" t="s">
        <v>1129</v>
      </c>
      <c r="D58">
        <v>5</v>
      </c>
      <c r="E58" s="2" t="s">
        <v>1495</v>
      </c>
      <c r="J58" t="s">
        <v>1041</v>
      </c>
      <c r="K58">
        <v>39</v>
      </c>
      <c r="L58" t="s">
        <v>1174</v>
      </c>
    </row>
    <row r="59" spans="1:12">
      <c r="A59" t="s">
        <v>829</v>
      </c>
      <c r="B59">
        <v>23</v>
      </c>
      <c r="C59" t="s">
        <v>1118</v>
      </c>
      <c r="D59">
        <v>5</v>
      </c>
      <c r="E59" s="2" t="s">
        <v>1496</v>
      </c>
      <c r="J59" t="s">
        <v>829</v>
      </c>
      <c r="K59">
        <v>23</v>
      </c>
      <c r="L59" t="s">
        <v>1175</v>
      </c>
    </row>
    <row r="60" spans="1:12">
      <c r="A60" t="s">
        <v>786</v>
      </c>
      <c r="B60">
        <v>33</v>
      </c>
      <c r="C60" t="s">
        <v>1118</v>
      </c>
      <c r="D60">
        <v>5</v>
      </c>
      <c r="E60" s="2" t="s">
        <v>1497</v>
      </c>
      <c r="J60" t="s">
        <v>786</v>
      </c>
      <c r="K60">
        <v>33</v>
      </c>
      <c r="L60" t="s">
        <v>1176</v>
      </c>
    </row>
    <row r="61" spans="1:12">
      <c r="A61" t="s">
        <v>634</v>
      </c>
      <c r="B61">
        <v>44</v>
      </c>
      <c r="C61" t="s">
        <v>1118</v>
      </c>
      <c r="D61">
        <v>5</v>
      </c>
      <c r="E61" s="2" t="s">
        <v>1498</v>
      </c>
      <c r="J61" t="s">
        <v>634</v>
      </c>
      <c r="K61">
        <v>44</v>
      </c>
      <c r="L61" t="s">
        <v>1177</v>
      </c>
    </row>
    <row r="62" spans="1:12">
      <c r="A62" t="s">
        <v>677</v>
      </c>
      <c r="B62">
        <v>30</v>
      </c>
      <c r="C62" t="s">
        <v>1118</v>
      </c>
      <c r="D62">
        <v>5</v>
      </c>
      <c r="E62" s="2" t="s">
        <v>1499</v>
      </c>
      <c r="J62" t="s">
        <v>677</v>
      </c>
      <c r="K62">
        <v>30</v>
      </c>
      <c r="L62" t="s">
        <v>1178</v>
      </c>
    </row>
    <row r="63" spans="1:12">
      <c r="A63" t="s">
        <v>471</v>
      </c>
      <c r="B63">
        <v>54</v>
      </c>
      <c r="C63" t="s">
        <v>489</v>
      </c>
      <c r="D63">
        <v>5</v>
      </c>
      <c r="E63" s="2" t="s">
        <v>1500</v>
      </c>
      <c r="J63" t="s">
        <v>471</v>
      </c>
      <c r="K63">
        <v>54</v>
      </c>
      <c r="L63" t="s">
        <v>1179</v>
      </c>
    </row>
    <row r="64" spans="1:12">
      <c r="A64" t="s">
        <v>674</v>
      </c>
      <c r="B64">
        <v>36</v>
      </c>
      <c r="C64" t="s">
        <v>1118</v>
      </c>
      <c r="D64">
        <v>5</v>
      </c>
      <c r="E64" s="2" t="s">
        <v>1501</v>
      </c>
      <c r="J64" t="s">
        <v>674</v>
      </c>
      <c r="K64">
        <v>36</v>
      </c>
      <c r="L64" t="s">
        <v>1180</v>
      </c>
    </row>
    <row r="65" spans="1:12">
      <c r="A65" t="s">
        <v>395</v>
      </c>
      <c r="B65">
        <v>69</v>
      </c>
      <c r="C65" t="s">
        <v>499</v>
      </c>
      <c r="D65">
        <v>5</v>
      </c>
      <c r="E65" s="2" t="s">
        <v>1502</v>
      </c>
      <c r="J65" t="s">
        <v>395</v>
      </c>
      <c r="K65">
        <v>69</v>
      </c>
      <c r="L65" t="s">
        <v>1181</v>
      </c>
    </row>
    <row r="66" spans="1:12">
      <c r="A66" t="s">
        <v>963</v>
      </c>
      <c r="B66">
        <v>28</v>
      </c>
      <c r="C66" t="s">
        <v>1129</v>
      </c>
      <c r="D66">
        <v>5</v>
      </c>
      <c r="E66" s="2" t="s">
        <v>1503</v>
      </c>
      <c r="J66" t="s">
        <v>963</v>
      </c>
      <c r="K66">
        <v>28</v>
      </c>
      <c r="L66" t="s">
        <v>1182</v>
      </c>
    </row>
    <row r="67" spans="1:12">
      <c r="A67" t="s">
        <v>799</v>
      </c>
      <c r="B67">
        <v>43</v>
      </c>
      <c r="C67" t="s">
        <v>1118</v>
      </c>
      <c r="D67">
        <v>5</v>
      </c>
      <c r="E67" s="2" t="s">
        <v>1504</v>
      </c>
      <c r="J67" t="s">
        <v>799</v>
      </c>
      <c r="K67">
        <v>43</v>
      </c>
      <c r="L67" t="s">
        <v>1183</v>
      </c>
    </row>
    <row r="68" spans="1:12">
      <c r="A68" t="s">
        <v>987</v>
      </c>
      <c r="B68">
        <v>23</v>
      </c>
      <c r="C68" t="s">
        <v>1129</v>
      </c>
      <c r="D68">
        <v>5</v>
      </c>
      <c r="E68" s="2" t="s">
        <v>1505</v>
      </c>
      <c r="J68" t="s">
        <v>987</v>
      </c>
      <c r="K68">
        <v>23</v>
      </c>
      <c r="L68" t="s">
        <v>1184</v>
      </c>
    </row>
    <row r="69" spans="1:12">
      <c r="A69" t="s">
        <v>371</v>
      </c>
      <c r="B69">
        <v>42</v>
      </c>
      <c r="C69" t="s">
        <v>479</v>
      </c>
      <c r="D69">
        <v>5</v>
      </c>
      <c r="E69" s="2" t="s">
        <v>1506</v>
      </c>
      <c r="J69" t="s">
        <v>371</v>
      </c>
      <c r="K69">
        <v>42</v>
      </c>
      <c r="L69" t="s">
        <v>1185</v>
      </c>
    </row>
    <row r="70" spans="1:12">
      <c r="A70" t="s">
        <v>1023</v>
      </c>
      <c r="B70">
        <v>30</v>
      </c>
      <c r="C70" t="s">
        <v>1129</v>
      </c>
      <c r="D70">
        <v>5</v>
      </c>
      <c r="E70" s="2" t="s">
        <v>1507</v>
      </c>
      <c r="J70" t="s">
        <v>1023</v>
      </c>
      <c r="K70">
        <v>30</v>
      </c>
      <c r="L70" t="s">
        <v>1186</v>
      </c>
    </row>
    <row r="71" spans="1:12">
      <c r="A71" t="s">
        <v>808</v>
      </c>
      <c r="B71">
        <v>23</v>
      </c>
      <c r="C71" t="s">
        <v>1118</v>
      </c>
      <c r="D71">
        <v>5</v>
      </c>
      <c r="E71" s="2" t="s">
        <v>1508</v>
      </c>
      <c r="J71" t="s">
        <v>808</v>
      </c>
      <c r="K71">
        <v>23</v>
      </c>
      <c r="L71" t="s">
        <v>1187</v>
      </c>
    </row>
    <row r="72" spans="1:12">
      <c r="A72" t="s">
        <v>219</v>
      </c>
      <c r="B72">
        <v>63</v>
      </c>
      <c r="C72" t="s">
        <v>479</v>
      </c>
      <c r="D72">
        <v>6</v>
      </c>
      <c r="E72" s="2" t="s">
        <v>1509</v>
      </c>
      <c r="J72" t="s">
        <v>219</v>
      </c>
      <c r="K72">
        <v>63</v>
      </c>
      <c r="L72" t="s">
        <v>1188</v>
      </c>
    </row>
    <row r="73" spans="1:12">
      <c r="A73" t="s">
        <v>640</v>
      </c>
      <c r="B73">
        <v>35</v>
      </c>
      <c r="C73" t="s">
        <v>1118</v>
      </c>
      <c r="D73">
        <v>6</v>
      </c>
      <c r="E73" s="2" t="s">
        <v>1510</v>
      </c>
      <c r="J73" t="s">
        <v>640</v>
      </c>
      <c r="K73">
        <v>35</v>
      </c>
      <c r="L73" t="s">
        <v>1189</v>
      </c>
    </row>
    <row r="74" spans="1:12">
      <c r="A74" t="s">
        <v>514</v>
      </c>
      <c r="B74">
        <v>49</v>
      </c>
      <c r="C74" t="s">
        <v>1118</v>
      </c>
      <c r="D74">
        <v>6</v>
      </c>
      <c r="E74" s="2" t="s">
        <v>1511</v>
      </c>
      <c r="J74" t="s">
        <v>514</v>
      </c>
      <c r="K74">
        <v>49</v>
      </c>
      <c r="L74" t="s">
        <v>1190</v>
      </c>
    </row>
    <row r="75" spans="1:12">
      <c r="A75" t="s">
        <v>347</v>
      </c>
      <c r="B75">
        <v>51</v>
      </c>
      <c r="C75" t="s">
        <v>479</v>
      </c>
      <c r="D75">
        <v>6</v>
      </c>
      <c r="E75" s="2" t="s">
        <v>1512</v>
      </c>
      <c r="J75" t="s">
        <v>347</v>
      </c>
      <c r="K75">
        <v>51</v>
      </c>
      <c r="L75" t="s">
        <v>1191</v>
      </c>
    </row>
    <row r="76" spans="1:12">
      <c r="A76" t="s">
        <v>566</v>
      </c>
      <c r="B76">
        <v>49</v>
      </c>
      <c r="C76" t="s">
        <v>1118</v>
      </c>
      <c r="D76">
        <v>6</v>
      </c>
      <c r="E76" s="2" t="s">
        <v>1513</v>
      </c>
      <c r="J76" t="s">
        <v>566</v>
      </c>
      <c r="K76">
        <v>49</v>
      </c>
      <c r="L76" t="s">
        <v>1192</v>
      </c>
    </row>
    <row r="77" spans="1:12">
      <c r="A77" t="s">
        <v>560</v>
      </c>
      <c r="B77">
        <v>32</v>
      </c>
      <c r="C77" t="s">
        <v>1118</v>
      </c>
      <c r="D77">
        <v>6</v>
      </c>
      <c r="E77" s="2" t="s">
        <v>1514</v>
      </c>
      <c r="J77" t="s">
        <v>560</v>
      </c>
      <c r="K77">
        <v>32</v>
      </c>
      <c r="L77" t="s">
        <v>1193</v>
      </c>
    </row>
    <row r="78" spans="1:12">
      <c r="A78" t="s">
        <v>461</v>
      </c>
      <c r="B78">
        <v>57</v>
      </c>
      <c r="C78" t="s">
        <v>479</v>
      </c>
      <c r="D78">
        <v>6</v>
      </c>
      <c r="E78" s="2" t="s">
        <v>1515</v>
      </c>
      <c r="J78" t="s">
        <v>461</v>
      </c>
      <c r="K78">
        <v>57</v>
      </c>
      <c r="L78" t="s">
        <v>1194</v>
      </c>
    </row>
    <row r="79" spans="1:12">
      <c r="A79" t="s">
        <v>569</v>
      </c>
      <c r="B79">
        <v>23</v>
      </c>
      <c r="C79" t="s">
        <v>1118</v>
      </c>
      <c r="D79">
        <v>6</v>
      </c>
      <c r="E79" s="2" t="s">
        <v>1516</v>
      </c>
      <c r="J79" t="s">
        <v>569</v>
      </c>
      <c r="K79">
        <v>23</v>
      </c>
      <c r="L79" t="s">
        <v>1195</v>
      </c>
    </row>
    <row r="80" spans="1:12">
      <c r="A80" t="s">
        <v>520</v>
      </c>
      <c r="B80">
        <v>50</v>
      </c>
      <c r="C80" t="s">
        <v>1118</v>
      </c>
      <c r="D80">
        <v>6</v>
      </c>
      <c r="E80" s="2" t="s">
        <v>1517</v>
      </c>
      <c r="J80" t="s">
        <v>520</v>
      </c>
      <c r="K80">
        <v>50</v>
      </c>
      <c r="L80" t="s">
        <v>1196</v>
      </c>
    </row>
    <row r="81" spans="1:12">
      <c r="A81" t="s">
        <v>335</v>
      </c>
      <c r="B81">
        <v>35</v>
      </c>
      <c r="C81" t="s">
        <v>485</v>
      </c>
      <c r="D81">
        <v>6</v>
      </c>
      <c r="E81" s="2" t="s">
        <v>1518</v>
      </c>
      <c r="J81" t="s">
        <v>335</v>
      </c>
      <c r="K81">
        <v>35</v>
      </c>
      <c r="L81" t="s">
        <v>1197</v>
      </c>
    </row>
    <row r="82" spans="1:12">
      <c r="A82" t="s">
        <v>1097</v>
      </c>
      <c r="B82">
        <v>27</v>
      </c>
      <c r="C82" t="s">
        <v>1129</v>
      </c>
      <c r="D82">
        <v>6</v>
      </c>
      <c r="E82" s="2" t="s">
        <v>1519</v>
      </c>
      <c r="J82" t="s">
        <v>1097</v>
      </c>
      <c r="K82">
        <v>27</v>
      </c>
      <c r="L82" t="s">
        <v>1198</v>
      </c>
    </row>
    <row r="83" spans="1:12">
      <c r="A83" t="s">
        <v>631</v>
      </c>
      <c r="B83">
        <v>41</v>
      </c>
      <c r="C83" t="s">
        <v>1118</v>
      </c>
      <c r="D83">
        <v>6</v>
      </c>
      <c r="E83" s="2" t="s">
        <v>1520</v>
      </c>
      <c r="J83" t="s">
        <v>631</v>
      </c>
      <c r="K83">
        <v>41</v>
      </c>
      <c r="L83" t="s">
        <v>1199</v>
      </c>
    </row>
    <row r="84" spans="1:12">
      <c r="A84" t="s">
        <v>707</v>
      </c>
      <c r="B84">
        <v>37</v>
      </c>
      <c r="C84" t="s">
        <v>1118</v>
      </c>
      <c r="D84">
        <v>6</v>
      </c>
      <c r="E84" s="2" t="s">
        <v>1521</v>
      </c>
      <c r="J84" t="s">
        <v>707</v>
      </c>
      <c r="K84">
        <v>37</v>
      </c>
      <c r="L84" t="s">
        <v>1200</v>
      </c>
    </row>
    <row r="85" spans="1:12">
      <c r="A85" t="s">
        <v>740</v>
      </c>
      <c r="B85">
        <v>31</v>
      </c>
      <c r="C85" t="s">
        <v>1118</v>
      </c>
      <c r="D85">
        <v>6</v>
      </c>
      <c r="E85" s="2" t="s">
        <v>1522</v>
      </c>
      <c r="J85" t="s">
        <v>740</v>
      </c>
      <c r="K85">
        <v>31</v>
      </c>
      <c r="L85" t="s">
        <v>1201</v>
      </c>
    </row>
    <row r="86" spans="1:12">
      <c r="A86" t="s">
        <v>761</v>
      </c>
      <c r="B86">
        <v>44</v>
      </c>
      <c r="C86" t="s">
        <v>1118</v>
      </c>
      <c r="D86">
        <v>7</v>
      </c>
      <c r="E86" s="2" t="s">
        <v>1523</v>
      </c>
      <c r="J86" t="s">
        <v>761</v>
      </c>
      <c r="K86">
        <v>44</v>
      </c>
      <c r="L86" t="s">
        <v>1202</v>
      </c>
    </row>
    <row r="87" spans="1:12">
      <c r="A87" t="s">
        <v>37</v>
      </c>
      <c r="B87">
        <v>66</v>
      </c>
      <c r="C87" t="s">
        <v>479</v>
      </c>
      <c r="D87">
        <v>7</v>
      </c>
      <c r="E87" s="2" t="s">
        <v>1524</v>
      </c>
      <c r="J87" t="s">
        <v>37</v>
      </c>
      <c r="K87">
        <v>66</v>
      </c>
      <c r="L87" t="s">
        <v>1203</v>
      </c>
    </row>
    <row r="88" spans="1:12">
      <c r="A88" t="s">
        <v>511</v>
      </c>
      <c r="B88">
        <v>35</v>
      </c>
      <c r="C88" t="s">
        <v>1118</v>
      </c>
      <c r="D88">
        <v>7</v>
      </c>
      <c r="E88" s="2" t="s">
        <v>1525</v>
      </c>
      <c r="J88" t="s">
        <v>511</v>
      </c>
      <c r="K88">
        <v>35</v>
      </c>
      <c r="L88" t="s">
        <v>1204</v>
      </c>
    </row>
    <row r="89" spans="1:12">
      <c r="A89" t="s">
        <v>622</v>
      </c>
      <c r="B89">
        <v>41</v>
      </c>
      <c r="C89" t="s">
        <v>1118</v>
      </c>
      <c r="D89">
        <v>7</v>
      </c>
      <c r="E89" s="2" t="s">
        <v>1526</v>
      </c>
      <c r="J89" t="s">
        <v>622</v>
      </c>
      <c r="K89">
        <v>41</v>
      </c>
      <c r="L89" t="s">
        <v>1205</v>
      </c>
    </row>
    <row r="90" spans="1:12">
      <c r="A90" t="s">
        <v>896</v>
      </c>
      <c r="B90">
        <v>36</v>
      </c>
      <c r="C90" t="s">
        <v>1118</v>
      </c>
      <c r="D90">
        <v>7</v>
      </c>
      <c r="E90" s="2" t="s">
        <v>1527</v>
      </c>
      <c r="J90" t="s">
        <v>896</v>
      </c>
      <c r="K90">
        <v>36</v>
      </c>
      <c r="L90" t="s">
        <v>1206</v>
      </c>
    </row>
    <row r="91" spans="1:12">
      <c r="A91" t="s">
        <v>780</v>
      </c>
      <c r="B91">
        <v>32</v>
      </c>
      <c r="C91" t="s">
        <v>1118</v>
      </c>
      <c r="D91">
        <v>7</v>
      </c>
      <c r="E91" s="2" t="s">
        <v>1528</v>
      </c>
      <c r="J91" t="s">
        <v>780</v>
      </c>
      <c r="K91">
        <v>32</v>
      </c>
      <c r="L91" t="s">
        <v>1207</v>
      </c>
    </row>
    <row r="92" spans="1:12">
      <c r="A92" t="s">
        <v>279</v>
      </c>
      <c r="B92">
        <v>61</v>
      </c>
      <c r="C92" t="s">
        <v>483</v>
      </c>
      <c r="D92">
        <v>7</v>
      </c>
      <c r="E92" s="2" t="s">
        <v>1529</v>
      </c>
      <c r="J92" t="s">
        <v>279</v>
      </c>
      <c r="K92">
        <v>61</v>
      </c>
      <c r="L92" t="s">
        <v>1208</v>
      </c>
    </row>
    <row r="93" spans="1:12">
      <c r="A93" t="s">
        <v>1088</v>
      </c>
      <c r="B93">
        <v>46</v>
      </c>
      <c r="C93" t="s">
        <v>1129</v>
      </c>
      <c r="D93">
        <v>7</v>
      </c>
      <c r="E93" s="2" t="s">
        <v>1530</v>
      </c>
      <c r="J93" t="s">
        <v>1088</v>
      </c>
      <c r="K93">
        <v>46</v>
      </c>
      <c r="L93" t="s">
        <v>1209</v>
      </c>
    </row>
    <row r="94" spans="1:12">
      <c r="A94" t="s">
        <v>195</v>
      </c>
      <c r="B94">
        <v>32</v>
      </c>
      <c r="C94" t="s">
        <v>489</v>
      </c>
      <c r="D94">
        <v>7</v>
      </c>
      <c r="E94" s="2" t="s">
        <v>1531</v>
      </c>
      <c r="J94" t="s">
        <v>195</v>
      </c>
      <c r="K94">
        <v>32</v>
      </c>
      <c r="L94" t="s">
        <v>1210</v>
      </c>
    </row>
    <row r="95" spans="1:12">
      <c r="A95" t="s">
        <v>939</v>
      </c>
      <c r="B95">
        <v>25</v>
      </c>
      <c r="C95" t="s">
        <v>1129</v>
      </c>
      <c r="D95">
        <v>7</v>
      </c>
      <c r="E95" s="2" t="s">
        <v>1532</v>
      </c>
      <c r="J95" t="s">
        <v>939</v>
      </c>
      <c r="K95">
        <v>25</v>
      </c>
      <c r="L95" t="s">
        <v>1211</v>
      </c>
    </row>
    <row r="96" spans="1:12">
      <c r="A96" t="s">
        <v>239</v>
      </c>
      <c r="B96">
        <v>51</v>
      </c>
      <c r="C96" t="s">
        <v>479</v>
      </c>
      <c r="D96">
        <v>7</v>
      </c>
      <c r="E96" s="2" t="s">
        <v>1533</v>
      </c>
      <c r="J96" t="s">
        <v>239</v>
      </c>
      <c r="K96">
        <v>51</v>
      </c>
      <c r="L96" t="s">
        <v>1212</v>
      </c>
    </row>
    <row r="97" spans="1:14">
      <c r="A97" t="s">
        <v>875</v>
      </c>
      <c r="B97">
        <v>56</v>
      </c>
      <c r="C97" t="s">
        <v>1118</v>
      </c>
      <c r="D97">
        <v>7</v>
      </c>
      <c r="E97" s="2" t="s">
        <v>1534</v>
      </c>
      <c r="J97" t="s">
        <v>875</v>
      </c>
      <c r="K97">
        <v>56</v>
      </c>
      <c r="L97" t="s">
        <v>1213</v>
      </c>
    </row>
    <row r="98" spans="1:14">
      <c r="A98" t="s">
        <v>271</v>
      </c>
      <c r="B98">
        <v>54</v>
      </c>
      <c r="C98" t="s">
        <v>479</v>
      </c>
      <c r="D98">
        <v>7</v>
      </c>
      <c r="E98" s="2" t="s">
        <v>1535</v>
      </c>
      <c r="J98" t="s">
        <v>271</v>
      </c>
      <c r="K98">
        <v>54</v>
      </c>
      <c r="L98" t="s">
        <v>1214</v>
      </c>
    </row>
    <row r="99" spans="1:14" s="1" customFormat="1">
      <c r="E99" s="5" t="s">
        <v>1536</v>
      </c>
      <c r="F99" s="1" t="s">
        <v>1450</v>
      </c>
      <c r="J99"/>
      <c r="L99"/>
      <c r="N99" s="5"/>
    </row>
    <row r="100" spans="1:14">
      <c r="A100" t="s">
        <v>664</v>
      </c>
      <c r="B100">
        <v>26</v>
      </c>
      <c r="C100" t="s">
        <v>1118</v>
      </c>
      <c r="D100">
        <v>8</v>
      </c>
      <c r="E100" s="2" t="s">
        <v>1537</v>
      </c>
      <c r="J100" t="s">
        <v>664</v>
      </c>
      <c r="K100">
        <v>26</v>
      </c>
      <c r="L100" t="s">
        <v>1215</v>
      </c>
    </row>
    <row r="101" spans="1:14">
      <c r="A101" t="s">
        <v>924</v>
      </c>
      <c r="B101">
        <v>34</v>
      </c>
      <c r="C101" t="s">
        <v>1129</v>
      </c>
      <c r="D101">
        <v>8</v>
      </c>
      <c r="E101" s="2" t="s">
        <v>1538</v>
      </c>
      <c r="J101" t="s">
        <v>924</v>
      </c>
      <c r="K101">
        <v>34</v>
      </c>
      <c r="L101" t="s">
        <v>1216</v>
      </c>
    </row>
    <row r="102" spans="1:14">
      <c r="A102" t="s">
        <v>743</v>
      </c>
      <c r="B102">
        <v>28</v>
      </c>
      <c r="C102" t="s">
        <v>1118</v>
      </c>
      <c r="D102">
        <v>8</v>
      </c>
      <c r="E102" s="2" t="s">
        <v>1539</v>
      </c>
      <c r="J102" t="s">
        <v>743</v>
      </c>
      <c r="K102">
        <v>28</v>
      </c>
      <c r="L102" t="s">
        <v>1217</v>
      </c>
    </row>
    <row r="103" spans="1:14">
      <c r="A103" t="s">
        <v>563</v>
      </c>
      <c r="B103">
        <v>27</v>
      </c>
      <c r="C103" t="s">
        <v>1118</v>
      </c>
      <c r="D103">
        <v>8</v>
      </c>
      <c r="E103" s="2" t="s">
        <v>1540</v>
      </c>
      <c r="J103" t="s">
        <v>563</v>
      </c>
      <c r="K103">
        <v>27</v>
      </c>
      <c r="L103" t="s">
        <v>1218</v>
      </c>
    </row>
    <row r="104" spans="1:14">
      <c r="A104" t="s">
        <v>1035</v>
      </c>
      <c r="B104">
        <v>52</v>
      </c>
      <c r="C104" t="s">
        <v>1129</v>
      </c>
      <c r="D104">
        <v>8</v>
      </c>
      <c r="E104" s="2" t="s">
        <v>1541</v>
      </c>
      <c r="J104" t="s">
        <v>1035</v>
      </c>
      <c r="K104">
        <v>52</v>
      </c>
      <c r="L104" t="s">
        <v>1219</v>
      </c>
    </row>
    <row r="105" spans="1:14">
      <c r="A105" t="s">
        <v>147</v>
      </c>
      <c r="B105">
        <v>40</v>
      </c>
      <c r="C105" t="s">
        <v>485</v>
      </c>
      <c r="D105">
        <v>8</v>
      </c>
      <c r="E105" s="2" t="s">
        <v>1542</v>
      </c>
      <c r="J105" t="s">
        <v>147</v>
      </c>
      <c r="K105">
        <v>40</v>
      </c>
      <c r="L105" t="s">
        <v>1220</v>
      </c>
    </row>
    <row r="106" spans="1:14">
      <c r="A106" t="s">
        <v>1058</v>
      </c>
      <c r="B106">
        <v>38</v>
      </c>
      <c r="C106" t="s">
        <v>1129</v>
      </c>
      <c r="D106">
        <v>8</v>
      </c>
      <c r="E106" s="2" t="s">
        <v>1543</v>
      </c>
      <c r="J106" t="s">
        <v>1058</v>
      </c>
      <c r="K106">
        <v>38</v>
      </c>
      <c r="L106" t="s">
        <v>1221</v>
      </c>
    </row>
    <row r="107" spans="1:14">
      <c r="A107" t="s">
        <v>1100</v>
      </c>
      <c r="B107">
        <v>22</v>
      </c>
      <c r="C107" t="s">
        <v>1129</v>
      </c>
      <c r="D107">
        <v>8</v>
      </c>
      <c r="E107" s="2" t="s">
        <v>1544</v>
      </c>
      <c r="J107" t="s">
        <v>1100</v>
      </c>
      <c r="K107">
        <v>22</v>
      </c>
      <c r="L107" t="s">
        <v>1222</v>
      </c>
    </row>
    <row r="108" spans="1:14">
      <c r="A108" t="s">
        <v>179</v>
      </c>
      <c r="B108">
        <v>63</v>
      </c>
      <c r="C108" t="s">
        <v>493</v>
      </c>
      <c r="D108">
        <v>8</v>
      </c>
      <c r="E108" s="2" t="s">
        <v>1545</v>
      </c>
      <c r="J108" t="s">
        <v>179</v>
      </c>
      <c r="K108">
        <v>63</v>
      </c>
      <c r="L108" t="s">
        <v>1223</v>
      </c>
    </row>
    <row r="109" spans="1:14">
      <c r="A109" t="s">
        <v>637</v>
      </c>
      <c r="B109">
        <v>40</v>
      </c>
      <c r="C109" t="s">
        <v>1118</v>
      </c>
      <c r="D109">
        <v>8</v>
      </c>
      <c r="E109" s="2" t="s">
        <v>1546</v>
      </c>
      <c r="J109" t="s">
        <v>637</v>
      </c>
      <c r="K109">
        <v>40</v>
      </c>
      <c r="L109" t="s">
        <v>1224</v>
      </c>
    </row>
    <row r="110" spans="1:14">
      <c r="A110" t="s">
        <v>403</v>
      </c>
      <c r="B110">
        <v>50</v>
      </c>
      <c r="C110" t="s">
        <v>479</v>
      </c>
      <c r="D110">
        <v>8</v>
      </c>
      <c r="E110" s="2" t="s">
        <v>1547</v>
      </c>
      <c r="J110" t="s">
        <v>403</v>
      </c>
      <c r="K110">
        <v>50</v>
      </c>
      <c r="L110" t="s">
        <v>1225</v>
      </c>
    </row>
    <row r="111" spans="1:14">
      <c r="A111" t="s">
        <v>16</v>
      </c>
      <c r="B111">
        <v>71</v>
      </c>
      <c r="C111" t="s">
        <v>479</v>
      </c>
      <c r="D111">
        <v>8</v>
      </c>
      <c r="E111" s="2" t="s">
        <v>1548</v>
      </c>
      <c r="J111" t="s">
        <v>16</v>
      </c>
      <c r="K111">
        <v>71</v>
      </c>
      <c r="L111" t="s">
        <v>1226</v>
      </c>
    </row>
    <row r="112" spans="1:14">
      <c r="A112" t="s">
        <v>722</v>
      </c>
      <c r="B112">
        <v>38</v>
      </c>
      <c r="C112" t="s">
        <v>1118</v>
      </c>
      <c r="D112">
        <v>8</v>
      </c>
      <c r="E112" s="2" t="s">
        <v>1549</v>
      </c>
      <c r="J112" t="s">
        <v>722</v>
      </c>
      <c r="K112">
        <v>38</v>
      </c>
      <c r="L112" t="s">
        <v>1227</v>
      </c>
    </row>
    <row r="113" spans="1:14" s="1" customFormat="1">
      <c r="E113" s="5" t="s">
        <v>1550</v>
      </c>
      <c r="F113" s="1" t="s">
        <v>1450</v>
      </c>
      <c r="J113"/>
      <c r="L113"/>
      <c r="N113" s="5"/>
    </row>
    <row r="114" spans="1:14">
      <c r="A114" t="s">
        <v>850</v>
      </c>
      <c r="B114">
        <v>32</v>
      </c>
      <c r="C114" t="s">
        <v>1118</v>
      </c>
      <c r="D114">
        <v>9</v>
      </c>
      <c r="E114" s="2" t="s">
        <v>1551</v>
      </c>
      <c r="J114" t="s">
        <v>850</v>
      </c>
      <c r="K114">
        <v>32</v>
      </c>
      <c r="L114" t="s">
        <v>1228</v>
      </c>
    </row>
    <row r="115" spans="1:14">
      <c r="A115" t="s">
        <v>231</v>
      </c>
      <c r="B115">
        <v>42</v>
      </c>
      <c r="C115" t="s">
        <v>489</v>
      </c>
      <c r="D115">
        <v>9</v>
      </c>
      <c r="E115" s="2" t="s">
        <v>1552</v>
      </c>
      <c r="J115" t="s">
        <v>231</v>
      </c>
      <c r="K115">
        <v>42</v>
      </c>
      <c r="L115" t="s">
        <v>1229</v>
      </c>
    </row>
    <row r="116" spans="1:14">
      <c r="A116" t="s">
        <v>915</v>
      </c>
      <c r="B116">
        <v>22</v>
      </c>
      <c r="C116" t="s">
        <v>1129</v>
      </c>
      <c r="D116">
        <v>9</v>
      </c>
      <c r="E116" s="2" t="s">
        <v>1553</v>
      </c>
      <c r="J116" t="s">
        <v>915</v>
      </c>
      <c r="K116">
        <v>22</v>
      </c>
      <c r="L116" t="s">
        <v>1230</v>
      </c>
    </row>
    <row r="117" spans="1:14">
      <c r="A117" t="s">
        <v>71</v>
      </c>
      <c r="B117">
        <v>50</v>
      </c>
      <c r="C117" t="s">
        <v>485</v>
      </c>
      <c r="D117">
        <v>9</v>
      </c>
      <c r="E117" s="2" t="s">
        <v>1554</v>
      </c>
      <c r="J117" t="s">
        <v>71</v>
      </c>
      <c r="K117">
        <v>50</v>
      </c>
      <c r="L117" t="s">
        <v>1231</v>
      </c>
    </row>
    <row r="118" spans="1:14">
      <c r="A118" t="s">
        <v>1008</v>
      </c>
      <c r="B118">
        <v>43</v>
      </c>
      <c r="C118" t="s">
        <v>1129</v>
      </c>
      <c r="D118">
        <v>9</v>
      </c>
      <c r="E118" s="2" t="s">
        <v>1555</v>
      </c>
      <c r="J118" t="s">
        <v>1008</v>
      </c>
      <c r="K118">
        <v>43</v>
      </c>
      <c r="L118" t="s">
        <v>1232</v>
      </c>
    </row>
    <row r="119" spans="1:14">
      <c r="A119" t="s">
        <v>619</v>
      </c>
      <c r="B119">
        <v>24</v>
      </c>
      <c r="C119" t="s">
        <v>1118</v>
      </c>
      <c r="D119">
        <v>9</v>
      </c>
      <c r="E119" s="2" t="s">
        <v>1556</v>
      </c>
      <c r="J119" t="s">
        <v>619</v>
      </c>
      <c r="K119">
        <v>24</v>
      </c>
      <c r="L119" t="s">
        <v>1233</v>
      </c>
    </row>
    <row r="120" spans="1:14">
      <c r="A120" t="s">
        <v>581</v>
      </c>
      <c r="B120">
        <v>42</v>
      </c>
      <c r="C120" t="s">
        <v>1118</v>
      </c>
      <c r="D120">
        <v>9</v>
      </c>
      <c r="E120" s="2" t="s">
        <v>1557</v>
      </c>
      <c r="J120" t="s">
        <v>581</v>
      </c>
      <c r="K120">
        <v>42</v>
      </c>
      <c r="L120" t="s">
        <v>1234</v>
      </c>
    </row>
    <row r="121" spans="1:14">
      <c r="A121" t="s">
        <v>689</v>
      </c>
      <c r="B121">
        <v>26</v>
      </c>
      <c r="C121" t="s">
        <v>1118</v>
      </c>
      <c r="D121">
        <v>9</v>
      </c>
      <c r="E121" s="2" t="s">
        <v>1558</v>
      </c>
      <c r="J121" t="s">
        <v>689</v>
      </c>
      <c r="K121">
        <v>26</v>
      </c>
      <c r="L121" t="s">
        <v>1235</v>
      </c>
    </row>
    <row r="122" spans="1:14">
      <c r="A122" t="s">
        <v>1064</v>
      </c>
      <c r="B122">
        <v>29</v>
      </c>
      <c r="C122" t="s">
        <v>1129</v>
      </c>
      <c r="D122">
        <v>9</v>
      </c>
      <c r="E122" s="2" t="s">
        <v>1559</v>
      </c>
      <c r="J122" t="s">
        <v>1064</v>
      </c>
      <c r="K122">
        <v>29</v>
      </c>
      <c r="L122" t="s">
        <v>1236</v>
      </c>
    </row>
    <row r="123" spans="1:14">
      <c r="A123" t="s">
        <v>391</v>
      </c>
      <c r="B123">
        <v>67</v>
      </c>
      <c r="C123" t="s">
        <v>479</v>
      </c>
      <c r="D123">
        <v>9</v>
      </c>
      <c r="E123" s="2" t="s">
        <v>1560</v>
      </c>
      <c r="J123" t="s">
        <v>391</v>
      </c>
      <c r="K123">
        <v>67</v>
      </c>
      <c r="L123" t="s">
        <v>1237</v>
      </c>
    </row>
    <row r="124" spans="1:14">
      <c r="A124" t="s">
        <v>430</v>
      </c>
      <c r="B124">
        <v>73</v>
      </c>
      <c r="C124" t="s">
        <v>479</v>
      </c>
      <c r="D124">
        <v>9</v>
      </c>
      <c r="E124" s="2" t="s">
        <v>1561</v>
      </c>
      <c r="J124" t="s">
        <v>430</v>
      </c>
      <c r="K124">
        <v>73</v>
      </c>
      <c r="L124" t="s">
        <v>1238</v>
      </c>
    </row>
    <row r="125" spans="1:14">
      <c r="A125" t="s">
        <v>1085</v>
      </c>
      <c r="B125">
        <v>39</v>
      </c>
      <c r="C125" t="s">
        <v>1129</v>
      </c>
      <c r="D125">
        <v>9</v>
      </c>
      <c r="E125" s="2" t="s">
        <v>1562</v>
      </c>
      <c r="J125" t="s">
        <v>1085</v>
      </c>
      <c r="K125">
        <v>39</v>
      </c>
      <c r="L125" t="s">
        <v>1239</v>
      </c>
    </row>
    <row r="126" spans="1:14">
      <c r="A126" t="s">
        <v>331</v>
      </c>
      <c r="B126">
        <v>56</v>
      </c>
      <c r="C126" t="s">
        <v>485</v>
      </c>
      <c r="D126">
        <v>9</v>
      </c>
      <c r="E126" s="2" t="s">
        <v>1563</v>
      </c>
      <c r="J126" t="s">
        <v>331</v>
      </c>
      <c r="K126">
        <v>56</v>
      </c>
      <c r="L126" t="s">
        <v>1240</v>
      </c>
    </row>
    <row r="127" spans="1:14">
      <c r="A127" t="s">
        <v>545</v>
      </c>
      <c r="B127">
        <v>25</v>
      </c>
      <c r="C127" t="s">
        <v>1118</v>
      </c>
      <c r="D127">
        <v>9</v>
      </c>
      <c r="E127" s="2" t="s">
        <v>1564</v>
      </c>
      <c r="J127" t="s">
        <v>545</v>
      </c>
      <c r="K127">
        <v>25</v>
      </c>
      <c r="L127" t="s">
        <v>1241</v>
      </c>
    </row>
    <row r="128" spans="1:14">
      <c r="A128" t="s">
        <v>610</v>
      </c>
      <c r="B128">
        <v>48</v>
      </c>
      <c r="C128" t="s">
        <v>1118</v>
      </c>
      <c r="D128">
        <v>10</v>
      </c>
      <c r="E128" s="2" t="s">
        <v>1565</v>
      </c>
      <c r="J128" t="s">
        <v>610</v>
      </c>
      <c r="K128">
        <v>48</v>
      </c>
      <c r="L128" t="s">
        <v>1242</v>
      </c>
    </row>
    <row r="129" spans="1:13">
      <c r="A129" t="s">
        <v>223</v>
      </c>
      <c r="B129">
        <v>37</v>
      </c>
      <c r="C129" t="s">
        <v>485</v>
      </c>
      <c r="D129">
        <v>10</v>
      </c>
      <c r="E129" s="2" t="s">
        <v>1566</v>
      </c>
      <c r="J129" t="s">
        <v>223</v>
      </c>
      <c r="K129">
        <v>37</v>
      </c>
      <c r="L129" t="s">
        <v>1243</v>
      </c>
    </row>
    <row r="130" spans="1:13">
      <c r="A130" t="s">
        <v>419</v>
      </c>
      <c r="B130">
        <v>51</v>
      </c>
      <c r="C130" t="s">
        <v>479</v>
      </c>
      <c r="D130">
        <v>10</v>
      </c>
      <c r="E130" s="2" t="s">
        <v>1567</v>
      </c>
      <c r="J130" t="s">
        <v>419</v>
      </c>
      <c r="K130">
        <v>51</v>
      </c>
      <c r="L130" t="s">
        <v>1244</v>
      </c>
    </row>
    <row r="131" spans="1:13">
      <c r="A131" t="s">
        <v>592</v>
      </c>
      <c r="B131">
        <v>41</v>
      </c>
      <c r="C131" t="s">
        <v>1118</v>
      </c>
      <c r="D131">
        <v>10</v>
      </c>
      <c r="E131" s="2" t="s">
        <v>1568</v>
      </c>
      <c r="J131" t="s">
        <v>592</v>
      </c>
      <c r="K131">
        <v>41</v>
      </c>
      <c r="L131" t="s">
        <v>1245</v>
      </c>
    </row>
    <row r="132" spans="1:13">
      <c r="A132" t="s">
        <v>1079</v>
      </c>
      <c r="B132">
        <v>42</v>
      </c>
      <c r="C132" t="s">
        <v>1129</v>
      </c>
      <c r="D132">
        <v>10</v>
      </c>
      <c r="E132" s="2" t="s">
        <v>1569</v>
      </c>
      <c r="J132" t="s">
        <v>1079</v>
      </c>
      <c r="K132">
        <v>42</v>
      </c>
      <c r="L132" t="s">
        <v>1246</v>
      </c>
    </row>
    <row r="133" spans="1:13">
      <c r="A133" t="s">
        <v>890</v>
      </c>
      <c r="B133">
        <v>60</v>
      </c>
      <c r="C133" t="s">
        <v>1118</v>
      </c>
      <c r="D133">
        <v>10</v>
      </c>
      <c r="E133" s="2" t="s">
        <v>1570</v>
      </c>
      <c r="J133" t="s">
        <v>890</v>
      </c>
      <c r="K133">
        <v>60</v>
      </c>
      <c r="L133" t="s">
        <v>1247</v>
      </c>
    </row>
    <row r="134" spans="1:13">
      <c r="A134" t="s">
        <v>291</v>
      </c>
      <c r="B134">
        <v>19</v>
      </c>
      <c r="C134" t="s">
        <v>493</v>
      </c>
      <c r="D134">
        <v>10</v>
      </c>
      <c r="E134" s="2" t="s">
        <v>1571</v>
      </c>
      <c r="J134" t="s">
        <v>291</v>
      </c>
      <c r="K134">
        <v>19</v>
      </c>
      <c r="L134" t="s">
        <v>1248</v>
      </c>
    </row>
    <row r="135" spans="1:13">
      <c r="A135" t="s">
        <v>764</v>
      </c>
      <c r="B135">
        <v>45</v>
      </c>
      <c r="C135" t="s">
        <v>1118</v>
      </c>
      <c r="D135">
        <v>10</v>
      </c>
      <c r="E135" s="2" t="s">
        <v>1572</v>
      </c>
      <c r="J135" t="s">
        <v>764</v>
      </c>
      <c r="K135">
        <v>45</v>
      </c>
      <c r="L135" t="s">
        <v>1249</v>
      </c>
    </row>
    <row r="136" spans="1:13">
      <c r="A136" t="s">
        <v>584</v>
      </c>
      <c r="B136">
        <v>30</v>
      </c>
      <c r="C136" t="s">
        <v>1118</v>
      </c>
      <c r="D136">
        <v>10</v>
      </c>
      <c r="E136" s="2" t="s">
        <v>1573</v>
      </c>
      <c r="J136" t="s">
        <v>584</v>
      </c>
      <c r="K136">
        <v>30</v>
      </c>
      <c r="L136" t="s">
        <v>1250</v>
      </c>
    </row>
    <row r="137" spans="1:13">
      <c r="A137" t="s">
        <v>731</v>
      </c>
      <c r="B137">
        <v>24</v>
      </c>
      <c r="C137" t="s">
        <v>1118</v>
      </c>
      <c r="D137">
        <v>10</v>
      </c>
      <c r="E137" s="2" t="s">
        <v>1574</v>
      </c>
      <c r="J137" t="s">
        <v>731</v>
      </c>
      <c r="K137">
        <v>24</v>
      </c>
      <c r="L137" t="s">
        <v>1251</v>
      </c>
    </row>
    <row r="138" spans="1:13">
      <c r="A138" t="s">
        <v>61</v>
      </c>
      <c r="B138">
        <v>61</v>
      </c>
      <c r="C138" t="s">
        <v>479</v>
      </c>
      <c r="D138">
        <v>10</v>
      </c>
      <c r="E138" s="2" t="s">
        <v>1575</v>
      </c>
      <c r="J138" t="s">
        <v>61</v>
      </c>
      <c r="K138">
        <v>61</v>
      </c>
      <c r="L138" t="s">
        <v>1252</v>
      </c>
    </row>
    <row r="139" spans="1:13">
      <c r="A139" t="s">
        <v>853</v>
      </c>
      <c r="B139">
        <v>22</v>
      </c>
      <c r="C139" t="s">
        <v>1118</v>
      </c>
      <c r="D139">
        <v>10</v>
      </c>
      <c r="E139" s="2" t="s">
        <v>1576</v>
      </c>
      <c r="J139" t="s">
        <v>853</v>
      </c>
      <c r="K139">
        <v>22</v>
      </c>
      <c r="L139" t="s">
        <v>1253</v>
      </c>
    </row>
    <row r="140" spans="1:13">
      <c r="A140" t="s">
        <v>529</v>
      </c>
      <c r="B140">
        <v>50</v>
      </c>
      <c r="C140" t="s">
        <v>1118</v>
      </c>
      <c r="D140">
        <v>10</v>
      </c>
      <c r="E140" s="2" t="s">
        <v>1577</v>
      </c>
      <c r="J140" t="s">
        <v>529</v>
      </c>
      <c r="K140">
        <v>50</v>
      </c>
      <c r="L140" t="s">
        <v>1254</v>
      </c>
    </row>
    <row r="141" spans="1:13">
      <c r="A141" t="s">
        <v>811</v>
      </c>
      <c r="B141">
        <v>20</v>
      </c>
      <c r="C141" t="s">
        <v>1118</v>
      </c>
      <c r="D141">
        <v>10</v>
      </c>
      <c r="E141" s="2" t="s">
        <v>1578</v>
      </c>
      <c r="J141" t="s">
        <v>811</v>
      </c>
      <c r="K141">
        <v>20</v>
      </c>
      <c r="L141" t="s">
        <v>1255</v>
      </c>
    </row>
    <row r="142" spans="1:13">
      <c r="A142" t="s">
        <v>863</v>
      </c>
      <c r="B142">
        <v>23</v>
      </c>
      <c r="C142" t="s">
        <v>1118</v>
      </c>
      <c r="D142">
        <v>11</v>
      </c>
      <c r="E142" s="2" t="s">
        <v>1579</v>
      </c>
      <c r="J142" t="s">
        <v>863</v>
      </c>
      <c r="K142">
        <v>23</v>
      </c>
      <c r="L142" t="s">
        <v>1256</v>
      </c>
    </row>
    <row r="143" spans="1:13">
      <c r="A143" t="s">
        <v>517</v>
      </c>
      <c r="B143">
        <v>77</v>
      </c>
      <c r="C143" t="s">
        <v>1118</v>
      </c>
      <c r="D143">
        <v>11</v>
      </c>
      <c r="E143" s="2" t="s">
        <v>1580</v>
      </c>
      <c r="J143" t="s">
        <v>517</v>
      </c>
      <c r="K143">
        <v>77</v>
      </c>
      <c r="L143" s="9" t="s">
        <v>1257</v>
      </c>
      <c r="M143" s="9" t="s">
        <v>1472</v>
      </c>
    </row>
    <row r="144" spans="1:13">
      <c r="A144" t="s">
        <v>1014</v>
      </c>
      <c r="B144">
        <v>37</v>
      </c>
      <c r="C144" t="s">
        <v>1129</v>
      </c>
      <c r="D144">
        <v>11</v>
      </c>
      <c r="E144" s="2" t="s">
        <v>1581</v>
      </c>
      <c r="J144" t="s">
        <v>1014</v>
      </c>
      <c r="K144">
        <v>37</v>
      </c>
      <c r="L144" t="s">
        <v>1258</v>
      </c>
    </row>
    <row r="145" spans="1:12">
      <c r="A145" t="s">
        <v>1011</v>
      </c>
      <c r="B145">
        <v>57</v>
      </c>
      <c r="C145" t="s">
        <v>1129</v>
      </c>
      <c r="D145">
        <v>11</v>
      </c>
      <c r="E145" s="2" t="s">
        <v>1582</v>
      </c>
      <c r="J145" t="s">
        <v>1011</v>
      </c>
      <c r="K145">
        <v>57</v>
      </c>
      <c r="L145" t="s">
        <v>1259</v>
      </c>
    </row>
    <row r="146" spans="1:12">
      <c r="A146" t="s">
        <v>387</v>
      </c>
      <c r="B146">
        <v>55</v>
      </c>
      <c r="C146" t="s">
        <v>489</v>
      </c>
      <c r="D146">
        <v>11</v>
      </c>
      <c r="E146" s="2" t="s">
        <v>1583</v>
      </c>
      <c r="J146" t="s">
        <v>387</v>
      </c>
      <c r="K146">
        <v>55</v>
      </c>
      <c r="L146" t="s">
        <v>1260</v>
      </c>
    </row>
    <row r="147" spans="1:12">
      <c r="A147" t="s">
        <v>589</v>
      </c>
      <c r="B147">
        <v>22</v>
      </c>
      <c r="C147" t="s">
        <v>1118</v>
      </c>
      <c r="D147">
        <v>11</v>
      </c>
      <c r="E147" s="2" t="s">
        <v>1584</v>
      </c>
      <c r="J147" t="s">
        <v>589</v>
      </c>
      <c r="K147">
        <v>22</v>
      </c>
      <c r="L147" t="s">
        <v>1261</v>
      </c>
    </row>
    <row r="148" spans="1:12">
      <c r="A148" t="s">
        <v>351</v>
      </c>
      <c r="B148">
        <v>48</v>
      </c>
      <c r="C148" t="s">
        <v>479</v>
      </c>
      <c r="D148">
        <v>11</v>
      </c>
      <c r="E148" s="2" t="s">
        <v>1585</v>
      </c>
      <c r="J148" t="s">
        <v>351</v>
      </c>
      <c r="K148">
        <v>48</v>
      </c>
      <c r="L148" t="s">
        <v>1262</v>
      </c>
    </row>
    <row r="149" spans="1:12">
      <c r="A149" t="s">
        <v>655</v>
      </c>
      <c r="B149">
        <v>34</v>
      </c>
      <c r="C149" t="s">
        <v>1118</v>
      </c>
      <c r="D149">
        <v>11</v>
      </c>
      <c r="E149" s="2" t="s">
        <v>1586</v>
      </c>
      <c r="J149" t="s">
        <v>655</v>
      </c>
      <c r="K149">
        <v>34</v>
      </c>
      <c r="L149" t="s">
        <v>1263</v>
      </c>
    </row>
    <row r="150" spans="1:12">
      <c r="A150" t="s">
        <v>243</v>
      </c>
      <c r="B150">
        <v>47</v>
      </c>
      <c r="C150" t="s">
        <v>485</v>
      </c>
      <c r="D150">
        <v>11</v>
      </c>
      <c r="E150" s="2" t="s">
        <v>1587</v>
      </c>
      <c r="J150" t="s">
        <v>243</v>
      </c>
      <c r="K150">
        <v>47</v>
      </c>
      <c r="L150" t="s">
        <v>1264</v>
      </c>
    </row>
    <row r="151" spans="1:12">
      <c r="A151" t="s">
        <v>422</v>
      </c>
      <c r="B151">
        <v>52</v>
      </c>
      <c r="C151" t="s">
        <v>479</v>
      </c>
      <c r="D151">
        <v>11</v>
      </c>
      <c r="E151" s="2" t="s">
        <v>1588</v>
      </c>
      <c r="J151" t="s">
        <v>422</v>
      </c>
      <c r="K151">
        <v>52</v>
      </c>
      <c r="L151" t="s">
        <v>1265</v>
      </c>
    </row>
    <row r="152" spans="1:12">
      <c r="A152" t="s">
        <v>984</v>
      </c>
      <c r="B152">
        <v>48</v>
      </c>
      <c r="C152" t="s">
        <v>1129</v>
      </c>
      <c r="D152">
        <v>11</v>
      </c>
      <c r="E152" s="2" t="s">
        <v>1589</v>
      </c>
      <c r="J152" t="s">
        <v>984</v>
      </c>
      <c r="K152">
        <v>48</v>
      </c>
      <c r="L152" t="s">
        <v>1266</v>
      </c>
    </row>
    <row r="153" spans="1:12">
      <c r="A153" t="s">
        <v>1049</v>
      </c>
      <c r="B153">
        <v>25</v>
      </c>
      <c r="C153" t="s">
        <v>1129</v>
      </c>
      <c r="D153">
        <v>11</v>
      </c>
      <c r="E153" s="2" t="s">
        <v>1590</v>
      </c>
      <c r="J153" t="s">
        <v>1049</v>
      </c>
      <c r="K153">
        <v>25</v>
      </c>
      <c r="L153" t="s">
        <v>1267</v>
      </c>
    </row>
    <row r="154" spans="1:12">
      <c r="A154" t="s">
        <v>595</v>
      </c>
      <c r="B154">
        <v>46</v>
      </c>
      <c r="C154" t="s">
        <v>1118</v>
      </c>
      <c r="D154">
        <v>11</v>
      </c>
      <c r="E154" s="2" t="s">
        <v>1591</v>
      </c>
      <c r="J154" t="s">
        <v>595</v>
      </c>
      <c r="K154">
        <v>46</v>
      </c>
      <c r="L154" t="s">
        <v>1268</v>
      </c>
    </row>
    <row r="155" spans="1:12">
      <c r="A155" t="s">
        <v>343</v>
      </c>
      <c r="B155">
        <v>59</v>
      </c>
      <c r="C155" t="s">
        <v>479</v>
      </c>
      <c r="D155">
        <v>11</v>
      </c>
      <c r="E155" s="2" t="s">
        <v>1592</v>
      </c>
      <c r="J155" t="s">
        <v>343</v>
      </c>
      <c r="K155">
        <v>59</v>
      </c>
      <c r="L155" t="s">
        <v>1269</v>
      </c>
    </row>
    <row r="156" spans="1:12">
      <c r="A156" t="s">
        <v>686</v>
      </c>
      <c r="B156">
        <v>47</v>
      </c>
      <c r="C156" t="s">
        <v>1118</v>
      </c>
      <c r="D156">
        <v>12</v>
      </c>
      <c r="E156" s="2" t="s">
        <v>1593</v>
      </c>
      <c r="J156" t="s">
        <v>686</v>
      </c>
      <c r="K156">
        <v>47</v>
      </c>
      <c r="L156" t="s">
        <v>1270</v>
      </c>
    </row>
    <row r="157" spans="1:12">
      <c r="A157" t="s">
        <v>601</v>
      </c>
      <c r="B157">
        <v>38</v>
      </c>
      <c r="C157" t="s">
        <v>1118</v>
      </c>
      <c r="D157">
        <v>12</v>
      </c>
      <c r="E157" s="2" t="s">
        <v>1594</v>
      </c>
      <c r="J157" t="s">
        <v>601</v>
      </c>
      <c r="K157">
        <v>38</v>
      </c>
      <c r="L157" t="s">
        <v>1271</v>
      </c>
    </row>
    <row r="158" spans="1:12">
      <c r="A158" t="s">
        <v>933</v>
      </c>
      <c r="B158">
        <v>29</v>
      </c>
      <c r="C158" t="s">
        <v>1129</v>
      </c>
      <c r="D158">
        <v>12</v>
      </c>
      <c r="E158" s="2" t="s">
        <v>1595</v>
      </c>
      <c r="J158" t="s">
        <v>933</v>
      </c>
      <c r="K158">
        <v>29</v>
      </c>
      <c r="L158" t="s">
        <v>1272</v>
      </c>
    </row>
    <row r="159" spans="1:12">
      <c r="A159" t="s">
        <v>46</v>
      </c>
      <c r="B159">
        <v>53</v>
      </c>
      <c r="C159" t="s">
        <v>489</v>
      </c>
      <c r="D159">
        <v>12</v>
      </c>
      <c r="E159" s="2" t="s">
        <v>1596</v>
      </c>
      <c r="J159" t="s">
        <v>46</v>
      </c>
      <c r="K159">
        <v>53</v>
      </c>
      <c r="L159" t="s">
        <v>1273</v>
      </c>
    </row>
    <row r="160" spans="1:12">
      <c r="A160" t="s">
        <v>578</v>
      </c>
      <c r="B160">
        <v>58</v>
      </c>
      <c r="C160" t="s">
        <v>1118</v>
      </c>
      <c r="D160">
        <v>12</v>
      </c>
      <c r="E160" s="2" t="s">
        <v>1597</v>
      </c>
      <c r="J160" t="s">
        <v>578</v>
      </c>
      <c r="K160">
        <v>58</v>
      </c>
      <c r="L160" t="s">
        <v>1274</v>
      </c>
    </row>
    <row r="161" spans="1:14">
      <c r="A161" t="s">
        <v>523</v>
      </c>
      <c r="B161">
        <v>40</v>
      </c>
      <c r="C161" t="s">
        <v>1118</v>
      </c>
      <c r="D161">
        <v>12</v>
      </c>
      <c r="E161" s="2" t="s">
        <v>1598</v>
      </c>
      <c r="J161" t="s">
        <v>523</v>
      </c>
      <c r="K161">
        <v>40</v>
      </c>
      <c r="L161" t="s">
        <v>1275</v>
      </c>
    </row>
    <row r="162" spans="1:14">
      <c r="A162" t="s">
        <v>474</v>
      </c>
      <c r="B162">
        <v>60</v>
      </c>
      <c r="C162" t="s">
        <v>479</v>
      </c>
      <c r="D162">
        <v>12</v>
      </c>
      <c r="E162" s="2" t="s">
        <v>1599</v>
      </c>
      <c r="J162" t="s">
        <v>474</v>
      </c>
      <c r="K162">
        <v>60</v>
      </c>
      <c r="L162" s="6" t="s">
        <v>1276</v>
      </c>
      <c r="M162" t="s">
        <v>1437</v>
      </c>
      <c r="N162" s="2" t="s">
        <v>1423</v>
      </c>
    </row>
    <row r="163" spans="1:14">
      <c r="A163" t="s">
        <v>339</v>
      </c>
      <c r="B163">
        <v>41</v>
      </c>
      <c r="C163" t="s">
        <v>479</v>
      </c>
      <c r="D163">
        <v>12</v>
      </c>
      <c r="E163" s="2" t="s">
        <v>1600</v>
      </c>
      <c r="J163" t="s">
        <v>339</v>
      </c>
      <c r="K163">
        <v>41</v>
      </c>
      <c r="L163" t="s">
        <v>1277</v>
      </c>
    </row>
    <row r="164" spans="1:14">
      <c r="A164" t="s">
        <v>191</v>
      </c>
      <c r="B164">
        <v>50</v>
      </c>
      <c r="C164" t="s">
        <v>485</v>
      </c>
      <c r="D164">
        <v>12</v>
      </c>
      <c r="E164" s="2" t="s">
        <v>1601</v>
      </c>
      <c r="J164" t="s">
        <v>191</v>
      </c>
      <c r="K164">
        <v>50</v>
      </c>
      <c r="L164" t="s">
        <v>1278</v>
      </c>
    </row>
    <row r="165" spans="1:14">
      <c r="A165" t="s">
        <v>383</v>
      </c>
      <c r="B165">
        <v>57</v>
      </c>
      <c r="C165" t="s">
        <v>499</v>
      </c>
      <c r="D165">
        <v>12</v>
      </c>
      <c r="E165" s="2" t="s">
        <v>1602</v>
      </c>
      <c r="J165" t="s">
        <v>383</v>
      </c>
      <c r="K165">
        <v>57</v>
      </c>
      <c r="L165" t="s">
        <v>1279</v>
      </c>
    </row>
    <row r="166" spans="1:14">
      <c r="A166" t="s">
        <v>774</v>
      </c>
      <c r="B166">
        <v>20</v>
      </c>
      <c r="C166" t="s">
        <v>1118</v>
      </c>
      <c r="D166">
        <v>12</v>
      </c>
      <c r="E166" s="2" t="s">
        <v>1603</v>
      </c>
      <c r="J166" t="s">
        <v>774</v>
      </c>
      <c r="K166">
        <v>20</v>
      </c>
      <c r="L166" t="s">
        <v>1280</v>
      </c>
    </row>
    <row r="167" spans="1:14">
      <c r="A167" t="s">
        <v>119</v>
      </c>
      <c r="B167">
        <v>69</v>
      </c>
      <c r="C167" t="s">
        <v>479</v>
      </c>
      <c r="D167">
        <v>12</v>
      </c>
      <c r="E167" s="2" t="s">
        <v>1604</v>
      </c>
      <c r="J167" t="s">
        <v>119</v>
      </c>
      <c r="K167">
        <v>69</v>
      </c>
      <c r="L167" s="6" t="s">
        <v>1281</v>
      </c>
      <c r="M167" t="s">
        <v>1437</v>
      </c>
      <c r="N167" s="2" t="s">
        <v>1427</v>
      </c>
    </row>
    <row r="168" spans="1:14">
      <c r="A168" t="s">
        <v>151</v>
      </c>
      <c r="B168">
        <v>25</v>
      </c>
      <c r="C168" t="s">
        <v>485</v>
      </c>
      <c r="D168">
        <v>12</v>
      </c>
      <c r="E168" s="2" t="s">
        <v>1605</v>
      </c>
      <c r="J168" t="s">
        <v>151</v>
      </c>
      <c r="K168">
        <v>25</v>
      </c>
      <c r="L168" t="s">
        <v>1282</v>
      </c>
    </row>
    <row r="169" spans="1:14">
      <c r="A169" t="s">
        <v>999</v>
      </c>
      <c r="B169">
        <v>45</v>
      </c>
      <c r="C169" t="s">
        <v>1129</v>
      </c>
      <c r="D169">
        <v>12</v>
      </c>
      <c r="E169" s="2" t="s">
        <v>1606</v>
      </c>
      <c r="J169" t="s">
        <v>999</v>
      </c>
      <c r="K169">
        <v>45</v>
      </c>
      <c r="L169" t="s">
        <v>1283</v>
      </c>
    </row>
    <row r="170" spans="1:14">
      <c r="A170" t="s">
        <v>1091</v>
      </c>
      <c r="B170">
        <v>29</v>
      </c>
      <c r="C170" t="s">
        <v>1129</v>
      </c>
      <c r="D170">
        <v>13</v>
      </c>
      <c r="E170" s="2" t="s">
        <v>1607</v>
      </c>
      <c r="J170" t="s">
        <v>1091</v>
      </c>
      <c r="K170">
        <v>29</v>
      </c>
      <c r="L170" t="s">
        <v>1284</v>
      </c>
    </row>
    <row r="171" spans="1:14">
      <c r="A171" t="s">
        <v>446</v>
      </c>
      <c r="B171">
        <v>48</v>
      </c>
      <c r="C171" t="s">
        <v>479</v>
      </c>
      <c r="D171">
        <v>13</v>
      </c>
      <c r="E171" s="2" t="s">
        <v>1608</v>
      </c>
      <c r="J171" t="s">
        <v>446</v>
      </c>
      <c r="K171">
        <v>48</v>
      </c>
      <c r="L171" t="s">
        <v>1285</v>
      </c>
    </row>
    <row r="172" spans="1:14">
      <c r="A172" t="s">
        <v>267</v>
      </c>
      <c r="B172">
        <v>32</v>
      </c>
      <c r="C172" t="s">
        <v>485</v>
      </c>
      <c r="D172">
        <v>13</v>
      </c>
      <c r="E172" s="2" t="s">
        <v>1609</v>
      </c>
      <c r="J172" t="s">
        <v>267</v>
      </c>
      <c r="K172">
        <v>32</v>
      </c>
      <c r="L172" t="s">
        <v>1286</v>
      </c>
    </row>
    <row r="173" spans="1:14">
      <c r="A173" t="s">
        <v>942</v>
      </c>
      <c r="B173">
        <v>31</v>
      </c>
      <c r="C173" t="s">
        <v>1129</v>
      </c>
      <c r="D173">
        <v>13</v>
      </c>
      <c r="E173" s="2" t="s">
        <v>1610</v>
      </c>
      <c r="J173" t="s">
        <v>942</v>
      </c>
      <c r="K173">
        <v>31</v>
      </c>
      <c r="L173" t="s">
        <v>1287</v>
      </c>
    </row>
    <row r="174" spans="1:14">
      <c r="A174" t="s">
        <v>616</v>
      </c>
      <c r="B174">
        <v>53</v>
      </c>
      <c r="C174" t="s">
        <v>1118</v>
      </c>
      <c r="D174">
        <v>13</v>
      </c>
      <c r="E174" s="2" t="s">
        <v>1611</v>
      </c>
      <c r="J174" t="s">
        <v>616</v>
      </c>
      <c r="K174">
        <v>53</v>
      </c>
      <c r="L174" t="s">
        <v>1288</v>
      </c>
    </row>
    <row r="175" spans="1:14">
      <c r="A175" t="s">
        <v>789</v>
      </c>
      <c r="B175">
        <v>43</v>
      </c>
      <c r="C175" t="s">
        <v>1118</v>
      </c>
      <c r="D175">
        <v>13</v>
      </c>
      <c r="E175" s="2" t="s">
        <v>1612</v>
      </c>
      <c r="J175" t="s">
        <v>789</v>
      </c>
      <c r="K175">
        <v>43</v>
      </c>
      <c r="L175" t="s">
        <v>1289</v>
      </c>
    </row>
    <row r="176" spans="1:14">
      <c r="A176" t="s">
        <v>399</v>
      </c>
      <c r="B176">
        <v>59</v>
      </c>
      <c r="C176" t="s">
        <v>479</v>
      </c>
      <c r="D176">
        <v>13</v>
      </c>
      <c r="E176" s="2" t="s">
        <v>1613</v>
      </c>
      <c r="J176" t="s">
        <v>399</v>
      </c>
      <c r="K176">
        <v>59</v>
      </c>
      <c r="L176" t="s">
        <v>1290</v>
      </c>
    </row>
    <row r="177" spans="1:12">
      <c r="A177" t="s">
        <v>771</v>
      </c>
      <c r="B177">
        <v>47</v>
      </c>
      <c r="C177" t="s">
        <v>1118</v>
      </c>
      <c r="D177">
        <v>13</v>
      </c>
      <c r="E177" s="2" t="s">
        <v>1614</v>
      </c>
      <c r="J177" t="s">
        <v>771</v>
      </c>
      <c r="K177">
        <v>47</v>
      </c>
      <c r="L177" t="s">
        <v>1291</v>
      </c>
    </row>
    <row r="178" spans="1:12">
      <c r="A178" t="s">
        <v>734</v>
      </c>
      <c r="B178">
        <v>26</v>
      </c>
      <c r="C178" t="s">
        <v>1118</v>
      </c>
      <c r="D178">
        <v>13</v>
      </c>
      <c r="E178" s="2" t="s">
        <v>1615</v>
      </c>
      <c r="J178" t="s">
        <v>734</v>
      </c>
      <c r="K178">
        <v>26</v>
      </c>
      <c r="L178" t="s">
        <v>1292</v>
      </c>
    </row>
    <row r="179" spans="1:12">
      <c r="A179" t="s">
        <v>993</v>
      </c>
      <c r="B179">
        <v>81</v>
      </c>
      <c r="C179" t="s">
        <v>1129</v>
      </c>
      <c r="D179">
        <v>13</v>
      </c>
      <c r="E179" s="2" t="s">
        <v>1616</v>
      </c>
      <c r="J179" t="s">
        <v>993</v>
      </c>
      <c r="K179">
        <v>81</v>
      </c>
      <c r="L179" t="s">
        <v>1293</v>
      </c>
    </row>
    <row r="180" spans="1:12">
      <c r="A180" t="s">
        <v>930</v>
      </c>
      <c r="B180">
        <v>27</v>
      </c>
      <c r="C180" t="s">
        <v>1129</v>
      </c>
      <c r="D180">
        <v>13</v>
      </c>
      <c r="E180" s="2" t="s">
        <v>1617</v>
      </c>
      <c r="J180" t="s">
        <v>930</v>
      </c>
      <c r="K180">
        <v>27</v>
      </c>
      <c r="L180" t="s">
        <v>1294</v>
      </c>
    </row>
    <row r="181" spans="1:12">
      <c r="A181" t="s">
        <v>464</v>
      </c>
      <c r="B181">
        <v>71</v>
      </c>
      <c r="C181" t="s">
        <v>479</v>
      </c>
      <c r="D181">
        <v>13</v>
      </c>
      <c r="E181" s="2" t="s">
        <v>1618</v>
      </c>
      <c r="J181" t="s">
        <v>464</v>
      </c>
      <c r="K181">
        <v>71</v>
      </c>
      <c r="L181" t="s">
        <v>1295</v>
      </c>
    </row>
    <row r="182" spans="1:12">
      <c r="A182" t="s">
        <v>1043</v>
      </c>
      <c r="B182">
        <v>39</v>
      </c>
      <c r="C182" t="s">
        <v>1129</v>
      </c>
      <c r="D182">
        <v>13</v>
      </c>
      <c r="E182" s="2" t="s">
        <v>1619</v>
      </c>
      <c r="J182" t="s">
        <v>1043</v>
      </c>
      <c r="K182">
        <v>39</v>
      </c>
      <c r="L182" t="s">
        <v>1296</v>
      </c>
    </row>
    <row r="183" spans="1:12">
      <c r="A183" t="s">
        <v>155</v>
      </c>
      <c r="B183">
        <v>28</v>
      </c>
      <c r="C183" t="s">
        <v>485</v>
      </c>
      <c r="D183">
        <v>13</v>
      </c>
      <c r="E183" s="2" t="s">
        <v>1620</v>
      </c>
      <c r="J183" t="s">
        <v>155</v>
      </c>
      <c r="K183">
        <v>28</v>
      </c>
      <c r="L183" t="s">
        <v>1297</v>
      </c>
    </row>
    <row r="184" spans="1:12">
      <c r="A184" t="s">
        <v>135</v>
      </c>
      <c r="B184">
        <v>14</v>
      </c>
      <c r="C184" t="s">
        <v>483</v>
      </c>
      <c r="D184">
        <v>14</v>
      </c>
      <c r="E184" s="2" t="s">
        <v>1621</v>
      </c>
      <c r="J184" t="s">
        <v>135</v>
      </c>
      <c r="K184">
        <v>14</v>
      </c>
      <c r="L184" t="s">
        <v>1298</v>
      </c>
    </row>
    <row r="185" spans="1:12">
      <c r="A185" t="s">
        <v>912</v>
      </c>
      <c r="B185">
        <v>27</v>
      </c>
      <c r="C185" t="s">
        <v>1129</v>
      </c>
      <c r="D185">
        <v>14</v>
      </c>
      <c r="E185" s="2" t="s">
        <v>1622</v>
      </c>
      <c r="J185" t="s">
        <v>912</v>
      </c>
      <c r="K185">
        <v>27</v>
      </c>
      <c r="L185" t="s">
        <v>1299</v>
      </c>
    </row>
    <row r="186" spans="1:12">
      <c r="A186" t="s">
        <v>127</v>
      </c>
      <c r="B186">
        <v>40</v>
      </c>
      <c r="C186" t="s">
        <v>497</v>
      </c>
      <c r="D186">
        <v>14</v>
      </c>
      <c r="E186" s="2" t="s">
        <v>1623</v>
      </c>
      <c r="J186" t="s">
        <v>127</v>
      </c>
      <c r="K186">
        <v>40</v>
      </c>
      <c r="L186" t="s">
        <v>1300</v>
      </c>
    </row>
    <row r="187" spans="1:12">
      <c r="A187" t="s">
        <v>355</v>
      </c>
      <c r="B187">
        <v>67</v>
      </c>
      <c r="C187" t="s">
        <v>485</v>
      </c>
      <c r="D187">
        <v>14</v>
      </c>
      <c r="E187" s="2" t="s">
        <v>1624</v>
      </c>
      <c r="J187" t="s">
        <v>355</v>
      </c>
      <c r="K187">
        <v>67</v>
      </c>
      <c r="L187" t="s">
        <v>1301</v>
      </c>
    </row>
    <row r="188" spans="1:12">
      <c r="A188" t="s">
        <v>658</v>
      </c>
      <c r="B188">
        <v>34</v>
      </c>
      <c r="C188" t="s">
        <v>1118</v>
      </c>
      <c r="D188">
        <v>14</v>
      </c>
      <c r="E188" s="2" t="s">
        <v>1625</v>
      </c>
      <c r="J188" t="s">
        <v>658</v>
      </c>
      <c r="K188">
        <v>34</v>
      </c>
      <c r="L188" t="s">
        <v>1302</v>
      </c>
    </row>
    <row r="189" spans="1:12">
      <c r="A189" t="s">
        <v>649</v>
      </c>
      <c r="B189">
        <v>46</v>
      </c>
      <c r="C189" t="s">
        <v>1118</v>
      </c>
      <c r="D189">
        <v>14</v>
      </c>
      <c r="E189" s="2" t="s">
        <v>1626</v>
      </c>
      <c r="J189" t="s">
        <v>649</v>
      </c>
      <c r="K189">
        <v>46</v>
      </c>
      <c r="L189" t="s">
        <v>1303</v>
      </c>
    </row>
    <row r="190" spans="1:12">
      <c r="A190" t="s">
        <v>954</v>
      </c>
      <c r="B190">
        <v>49</v>
      </c>
      <c r="C190" t="s">
        <v>1129</v>
      </c>
      <c r="D190">
        <v>14</v>
      </c>
      <c r="E190" s="2" t="s">
        <v>1627</v>
      </c>
      <c r="J190" t="s">
        <v>954</v>
      </c>
      <c r="K190">
        <v>49</v>
      </c>
      <c r="L190" t="s">
        <v>1304</v>
      </c>
    </row>
    <row r="191" spans="1:12">
      <c r="A191" t="s">
        <v>1061</v>
      </c>
      <c r="B191">
        <v>66</v>
      </c>
      <c r="C191" t="s">
        <v>1129</v>
      </c>
      <c r="D191">
        <v>14</v>
      </c>
      <c r="E191" s="2" t="s">
        <v>1628</v>
      </c>
      <c r="J191" t="s">
        <v>1061</v>
      </c>
      <c r="K191">
        <v>66</v>
      </c>
      <c r="L191" t="s">
        <v>1305</v>
      </c>
    </row>
    <row r="192" spans="1:12">
      <c r="A192" t="s">
        <v>51</v>
      </c>
      <c r="B192">
        <v>50</v>
      </c>
      <c r="C192" t="s">
        <v>479</v>
      </c>
      <c r="D192">
        <v>14</v>
      </c>
      <c r="E192" s="2" t="s">
        <v>1629</v>
      </c>
      <c r="J192" t="s">
        <v>51</v>
      </c>
      <c r="K192">
        <v>50</v>
      </c>
      <c r="L192" t="s">
        <v>1306</v>
      </c>
    </row>
    <row r="193" spans="1:14">
      <c r="A193" t="s">
        <v>716</v>
      </c>
      <c r="B193">
        <v>52</v>
      </c>
      <c r="C193" t="s">
        <v>1118</v>
      </c>
      <c r="D193">
        <v>14</v>
      </c>
      <c r="E193" s="2" t="s">
        <v>1630</v>
      </c>
      <c r="J193" t="s">
        <v>716</v>
      </c>
      <c r="K193">
        <v>52</v>
      </c>
      <c r="L193" t="s">
        <v>1307</v>
      </c>
    </row>
    <row r="194" spans="1:14">
      <c r="A194" t="s">
        <v>407</v>
      </c>
      <c r="B194">
        <v>77</v>
      </c>
      <c r="C194" t="s">
        <v>479</v>
      </c>
      <c r="D194">
        <v>14</v>
      </c>
      <c r="E194" s="2" t="s">
        <v>1631</v>
      </c>
      <c r="J194" t="s">
        <v>407</v>
      </c>
      <c r="K194">
        <v>77</v>
      </c>
      <c r="L194" s="6" t="s">
        <v>1308</v>
      </c>
      <c r="M194" t="s">
        <v>1437</v>
      </c>
      <c r="N194" s="2" t="s">
        <v>1429</v>
      </c>
    </row>
    <row r="195" spans="1:14">
      <c r="A195" t="s">
        <v>548</v>
      </c>
      <c r="B195">
        <v>26</v>
      </c>
      <c r="C195" t="s">
        <v>1118</v>
      </c>
      <c r="D195">
        <v>14</v>
      </c>
      <c r="E195" s="2" t="s">
        <v>1632</v>
      </c>
      <c r="J195" t="s">
        <v>548</v>
      </c>
      <c r="K195">
        <v>26</v>
      </c>
      <c r="L195" t="s">
        <v>1309</v>
      </c>
    </row>
    <row r="196" spans="1:14">
      <c r="A196" t="s">
        <v>698</v>
      </c>
      <c r="B196">
        <v>32</v>
      </c>
      <c r="C196" t="s">
        <v>1118</v>
      </c>
      <c r="D196">
        <v>14</v>
      </c>
      <c r="E196" s="2" t="s">
        <v>1633</v>
      </c>
      <c r="J196" t="s">
        <v>698</v>
      </c>
      <c r="K196">
        <v>32</v>
      </c>
      <c r="L196" t="s">
        <v>1310</v>
      </c>
    </row>
    <row r="197" spans="1:14">
      <c r="A197" t="s">
        <v>450</v>
      </c>
      <c r="B197">
        <v>69</v>
      </c>
      <c r="C197" t="s">
        <v>479</v>
      </c>
      <c r="D197">
        <v>14</v>
      </c>
      <c r="E197" s="2" t="s">
        <v>1634</v>
      </c>
      <c r="J197" t="s">
        <v>450</v>
      </c>
      <c r="K197">
        <v>69</v>
      </c>
      <c r="L197" t="s">
        <v>1311</v>
      </c>
    </row>
    <row r="198" spans="1:14">
      <c r="A198" t="s">
        <v>793</v>
      </c>
      <c r="B198">
        <v>34</v>
      </c>
      <c r="C198" t="s">
        <v>1118</v>
      </c>
      <c r="D198">
        <v>15</v>
      </c>
      <c r="E198" s="2" t="s">
        <v>1635</v>
      </c>
      <c r="J198" t="s">
        <v>793</v>
      </c>
      <c r="K198">
        <v>34</v>
      </c>
      <c r="L198" t="s">
        <v>1312</v>
      </c>
    </row>
    <row r="199" spans="1:14">
      <c r="A199" t="s">
        <v>315</v>
      </c>
      <c r="B199">
        <v>50</v>
      </c>
      <c r="C199" t="s">
        <v>485</v>
      </c>
      <c r="D199">
        <v>15</v>
      </c>
      <c r="E199" s="2" t="s">
        <v>1636</v>
      </c>
      <c r="J199" t="s">
        <v>315</v>
      </c>
      <c r="K199">
        <v>50</v>
      </c>
      <c r="L199" t="s">
        <v>1313</v>
      </c>
    </row>
    <row r="200" spans="1:14">
      <c r="A200" t="s">
        <v>411</v>
      </c>
      <c r="B200">
        <v>56</v>
      </c>
      <c r="C200" t="s">
        <v>479</v>
      </c>
      <c r="D200">
        <v>15</v>
      </c>
      <c r="E200" s="2" t="s">
        <v>1637</v>
      </c>
      <c r="J200" t="s">
        <v>411</v>
      </c>
      <c r="K200">
        <v>56</v>
      </c>
      <c r="L200" t="s">
        <v>1314</v>
      </c>
    </row>
    <row r="201" spans="1:14">
      <c r="A201" t="s">
        <v>936</v>
      </c>
      <c r="B201">
        <v>23</v>
      </c>
      <c r="C201" t="s">
        <v>1129</v>
      </c>
      <c r="D201">
        <v>15</v>
      </c>
      <c r="E201" s="2" t="s">
        <v>1638</v>
      </c>
      <c r="J201" t="s">
        <v>936</v>
      </c>
      <c r="K201">
        <v>23</v>
      </c>
      <c r="L201" t="s">
        <v>1315</v>
      </c>
    </row>
    <row r="202" spans="1:14">
      <c r="A202" t="s">
        <v>927</v>
      </c>
      <c r="B202">
        <v>40</v>
      </c>
      <c r="C202" t="s">
        <v>1129</v>
      </c>
      <c r="D202">
        <v>15</v>
      </c>
      <c r="E202" s="2" t="s">
        <v>1639</v>
      </c>
      <c r="J202" t="s">
        <v>927</v>
      </c>
      <c r="K202">
        <v>40</v>
      </c>
      <c r="L202" t="s">
        <v>1316</v>
      </c>
    </row>
    <row r="203" spans="1:14">
      <c r="A203" t="s">
        <v>319</v>
      </c>
      <c r="B203">
        <v>36</v>
      </c>
      <c r="C203" t="s">
        <v>485</v>
      </c>
      <c r="D203">
        <v>15</v>
      </c>
      <c r="E203" s="2" t="s">
        <v>1640</v>
      </c>
      <c r="J203" t="s">
        <v>319</v>
      </c>
      <c r="K203">
        <v>36</v>
      </c>
      <c r="L203" t="s">
        <v>1317</v>
      </c>
    </row>
    <row r="204" spans="1:14">
      <c r="A204" t="s">
        <v>551</v>
      </c>
      <c r="B204">
        <v>38</v>
      </c>
      <c r="C204" t="s">
        <v>1118</v>
      </c>
      <c r="D204">
        <v>15</v>
      </c>
      <c r="E204" s="2" t="s">
        <v>1641</v>
      </c>
      <c r="J204" t="s">
        <v>551</v>
      </c>
      <c r="K204">
        <v>38</v>
      </c>
      <c r="L204" t="s">
        <v>1318</v>
      </c>
    </row>
    <row r="205" spans="1:14">
      <c r="A205" t="s">
        <v>295</v>
      </c>
      <c r="B205">
        <v>51</v>
      </c>
      <c r="C205" t="s">
        <v>479</v>
      </c>
      <c r="D205">
        <v>15</v>
      </c>
      <c r="E205" s="2" t="s">
        <v>1642</v>
      </c>
      <c r="J205" t="s">
        <v>295</v>
      </c>
      <c r="K205">
        <v>51</v>
      </c>
      <c r="L205" t="s">
        <v>1319</v>
      </c>
    </row>
    <row r="206" spans="1:14">
      <c r="A206" t="s">
        <v>1052</v>
      </c>
      <c r="B206">
        <v>47</v>
      </c>
      <c r="C206" t="s">
        <v>1129</v>
      </c>
      <c r="D206">
        <v>15</v>
      </c>
      <c r="E206" s="2" t="s">
        <v>1643</v>
      </c>
      <c r="J206" t="s">
        <v>1052</v>
      </c>
      <c r="K206">
        <v>47</v>
      </c>
      <c r="L206" t="s">
        <v>1320</v>
      </c>
    </row>
    <row r="207" spans="1:14">
      <c r="A207" t="s">
        <v>713</v>
      </c>
      <c r="B207">
        <v>31</v>
      </c>
      <c r="C207" t="s">
        <v>1118</v>
      </c>
      <c r="D207">
        <v>15</v>
      </c>
      <c r="E207" s="2" t="s">
        <v>1644</v>
      </c>
      <c r="J207" t="s">
        <v>713</v>
      </c>
      <c r="K207">
        <v>31</v>
      </c>
      <c r="L207" t="s">
        <v>1321</v>
      </c>
    </row>
    <row r="208" spans="1:14">
      <c r="A208" t="s">
        <v>802</v>
      </c>
      <c r="B208">
        <v>28</v>
      </c>
      <c r="C208" t="s">
        <v>1118</v>
      </c>
      <c r="D208">
        <v>15</v>
      </c>
      <c r="E208" s="2" t="s">
        <v>1645</v>
      </c>
      <c r="J208" t="s">
        <v>802</v>
      </c>
      <c r="K208">
        <v>28</v>
      </c>
      <c r="L208" t="s">
        <v>1322</v>
      </c>
    </row>
    <row r="209" spans="1:14">
      <c r="A209" t="s">
        <v>11</v>
      </c>
      <c r="B209">
        <v>64</v>
      </c>
      <c r="C209" t="s">
        <v>479</v>
      </c>
      <c r="D209">
        <v>15</v>
      </c>
      <c r="E209" s="2" t="s">
        <v>1646</v>
      </c>
      <c r="J209" t="s">
        <v>11</v>
      </c>
      <c r="K209">
        <v>64</v>
      </c>
      <c r="L209" s="6" t="s">
        <v>1323</v>
      </c>
      <c r="M209" t="s">
        <v>1437</v>
      </c>
      <c r="N209" s="2" t="s">
        <v>1433</v>
      </c>
    </row>
    <row r="210" spans="1:14">
      <c r="A210" t="s">
        <v>820</v>
      </c>
      <c r="B210">
        <v>21</v>
      </c>
      <c r="C210" t="s">
        <v>1118</v>
      </c>
      <c r="D210">
        <v>15</v>
      </c>
      <c r="E210" s="2" t="s">
        <v>1647</v>
      </c>
      <c r="J210" t="s">
        <v>820</v>
      </c>
      <c r="K210">
        <v>21</v>
      </c>
      <c r="L210" t="s">
        <v>1324</v>
      </c>
    </row>
    <row r="211" spans="1:14">
      <c r="A211" t="s">
        <v>508</v>
      </c>
      <c r="B211">
        <v>39</v>
      </c>
      <c r="C211" t="s">
        <v>1118</v>
      </c>
      <c r="D211">
        <v>15</v>
      </c>
      <c r="E211" s="2" t="s">
        <v>1648</v>
      </c>
      <c r="J211" t="s">
        <v>508</v>
      </c>
      <c r="K211">
        <v>39</v>
      </c>
      <c r="L211" t="s">
        <v>1325</v>
      </c>
    </row>
    <row r="212" spans="1:14">
      <c r="A212" t="s">
        <v>363</v>
      </c>
      <c r="B212">
        <v>56</v>
      </c>
      <c r="C212" t="s">
        <v>489</v>
      </c>
      <c r="D212">
        <v>16</v>
      </c>
      <c r="E212" s="2" t="s">
        <v>1649</v>
      </c>
      <c r="J212" t="s">
        <v>363</v>
      </c>
      <c r="K212">
        <v>56</v>
      </c>
      <c r="L212" t="s">
        <v>1326</v>
      </c>
    </row>
    <row r="213" spans="1:14">
      <c r="A213" t="s">
        <v>1070</v>
      </c>
      <c r="B213">
        <v>47</v>
      </c>
      <c r="C213" t="s">
        <v>1129</v>
      </c>
      <c r="D213">
        <v>16</v>
      </c>
      <c r="E213" s="2" t="s">
        <v>1650</v>
      </c>
      <c r="J213" t="s">
        <v>1070</v>
      </c>
      <c r="K213">
        <v>47</v>
      </c>
      <c r="L213" t="s">
        <v>1327</v>
      </c>
    </row>
    <row r="214" spans="1:14">
      <c r="A214" t="s">
        <v>746</v>
      </c>
      <c r="B214">
        <v>48</v>
      </c>
      <c r="C214" t="s">
        <v>1118</v>
      </c>
      <c r="D214">
        <v>16</v>
      </c>
      <c r="E214" s="2" t="s">
        <v>1651</v>
      </c>
      <c r="J214" t="s">
        <v>746</v>
      </c>
      <c r="K214">
        <v>48</v>
      </c>
      <c r="L214" t="s">
        <v>1328</v>
      </c>
    </row>
    <row r="215" spans="1:14">
      <c r="A215" t="s">
        <v>826</v>
      </c>
      <c r="B215">
        <v>21</v>
      </c>
      <c r="C215" t="s">
        <v>1118</v>
      </c>
      <c r="D215">
        <v>16</v>
      </c>
      <c r="E215" s="2" t="s">
        <v>1652</v>
      </c>
      <c r="J215" t="s">
        <v>826</v>
      </c>
      <c r="K215">
        <v>21</v>
      </c>
      <c r="L215" t="s">
        <v>1329</v>
      </c>
    </row>
    <row r="216" spans="1:14">
      <c r="A216" t="s">
        <v>1103</v>
      </c>
      <c r="B216">
        <v>45</v>
      </c>
      <c r="C216" t="s">
        <v>1129</v>
      </c>
      <c r="D216">
        <v>16</v>
      </c>
      <c r="E216" s="2" t="s">
        <v>1653</v>
      </c>
      <c r="J216" t="s">
        <v>1103</v>
      </c>
      <c r="K216">
        <v>45</v>
      </c>
      <c r="L216" t="s">
        <v>1330</v>
      </c>
    </row>
    <row r="217" spans="1:14">
      <c r="A217" t="s">
        <v>1005</v>
      </c>
      <c r="B217">
        <v>51</v>
      </c>
      <c r="C217" t="s">
        <v>1129</v>
      </c>
      <c r="D217">
        <v>16</v>
      </c>
      <c r="E217" s="2" t="s">
        <v>1654</v>
      </c>
      <c r="J217" t="s">
        <v>1005</v>
      </c>
      <c r="K217">
        <v>51</v>
      </c>
      <c r="L217" t="s">
        <v>1331</v>
      </c>
    </row>
    <row r="218" spans="1:14">
      <c r="A218" t="s">
        <v>646</v>
      </c>
      <c r="B218">
        <v>33</v>
      </c>
      <c r="C218" t="s">
        <v>1118</v>
      </c>
      <c r="D218">
        <v>16</v>
      </c>
      <c r="E218" s="2" t="s">
        <v>1655</v>
      </c>
      <c r="J218" t="s">
        <v>646</v>
      </c>
      <c r="K218">
        <v>33</v>
      </c>
      <c r="L218" t="s">
        <v>1332</v>
      </c>
    </row>
    <row r="219" spans="1:14">
      <c r="A219" t="s">
        <v>866</v>
      </c>
      <c r="B219">
        <v>52</v>
      </c>
      <c r="C219" t="s">
        <v>1118</v>
      </c>
      <c r="D219">
        <v>16</v>
      </c>
      <c r="E219" s="2" t="s">
        <v>1656</v>
      </c>
      <c r="J219" t="s">
        <v>866</v>
      </c>
      <c r="K219">
        <v>52</v>
      </c>
      <c r="L219" t="s">
        <v>1333</v>
      </c>
    </row>
    <row r="220" spans="1:14">
      <c r="A220" t="s">
        <v>255</v>
      </c>
      <c r="B220">
        <v>63</v>
      </c>
      <c r="C220" t="s">
        <v>479</v>
      </c>
      <c r="D220">
        <v>16</v>
      </c>
      <c r="E220" s="2" t="s">
        <v>1657</v>
      </c>
      <c r="J220" t="s">
        <v>255</v>
      </c>
      <c r="K220">
        <v>63</v>
      </c>
      <c r="L220" t="s">
        <v>1334</v>
      </c>
    </row>
    <row r="221" spans="1:14">
      <c r="A221" t="s">
        <v>1002</v>
      </c>
      <c r="B221">
        <v>28</v>
      </c>
      <c r="C221" t="s">
        <v>1129</v>
      </c>
      <c r="D221">
        <v>16</v>
      </c>
      <c r="E221" s="2" t="s">
        <v>1658</v>
      </c>
      <c r="J221" t="s">
        <v>1002</v>
      </c>
      <c r="K221">
        <v>28</v>
      </c>
      <c r="L221" t="s">
        <v>1335</v>
      </c>
    </row>
    <row r="222" spans="1:14">
      <c r="A222" t="s">
        <v>728</v>
      </c>
      <c r="B222">
        <v>31</v>
      </c>
      <c r="C222" t="s">
        <v>1118</v>
      </c>
      <c r="D222">
        <v>16</v>
      </c>
      <c r="E222" s="2" t="s">
        <v>1659</v>
      </c>
      <c r="J222" t="s">
        <v>728</v>
      </c>
      <c r="K222">
        <v>31</v>
      </c>
      <c r="L222" t="s">
        <v>1336</v>
      </c>
    </row>
    <row r="223" spans="1:14">
      <c r="A223" t="s">
        <v>115</v>
      </c>
      <c r="B223">
        <v>42</v>
      </c>
      <c r="C223" t="s">
        <v>479</v>
      </c>
      <c r="D223">
        <v>16</v>
      </c>
      <c r="E223" s="2" t="s">
        <v>1660</v>
      </c>
      <c r="J223" t="s">
        <v>115</v>
      </c>
      <c r="K223">
        <v>42</v>
      </c>
      <c r="L223" s="6" t="s">
        <v>1337</v>
      </c>
      <c r="M223" t="s">
        <v>1437</v>
      </c>
      <c r="N223" s="2" t="s">
        <v>1432</v>
      </c>
    </row>
    <row r="224" spans="1:14">
      <c r="A224" t="s">
        <v>367</v>
      </c>
      <c r="B224">
        <v>71</v>
      </c>
      <c r="C224" t="s">
        <v>481</v>
      </c>
      <c r="D224">
        <v>16</v>
      </c>
      <c r="E224" s="2" t="s">
        <v>1661</v>
      </c>
      <c r="J224" t="s">
        <v>367</v>
      </c>
      <c r="K224">
        <v>71</v>
      </c>
      <c r="L224" t="s">
        <v>1338</v>
      </c>
    </row>
    <row r="225" spans="1:14" s="1" customFormat="1">
      <c r="E225" s="5" t="s">
        <v>1662</v>
      </c>
      <c r="F225" s="1" t="s">
        <v>1450</v>
      </c>
      <c r="J225"/>
      <c r="L225"/>
      <c r="N225" s="5"/>
    </row>
    <row r="226" spans="1:14">
      <c r="A226" t="s">
        <v>796</v>
      </c>
      <c r="B226">
        <v>30</v>
      </c>
      <c r="C226" t="s">
        <v>1118</v>
      </c>
      <c r="D226">
        <v>17</v>
      </c>
      <c r="E226" s="2" t="s">
        <v>1663</v>
      </c>
      <c r="J226" t="s">
        <v>796</v>
      </c>
      <c r="K226">
        <v>30</v>
      </c>
      <c r="L226" t="s">
        <v>1339</v>
      </c>
    </row>
    <row r="227" spans="1:14">
      <c r="A227" t="s">
        <v>41</v>
      </c>
      <c r="B227">
        <v>56</v>
      </c>
      <c r="C227" t="s">
        <v>479</v>
      </c>
      <c r="D227">
        <v>17</v>
      </c>
      <c r="E227" s="2" t="s">
        <v>1664</v>
      </c>
      <c r="J227" t="s">
        <v>41</v>
      </c>
      <c r="K227">
        <v>56</v>
      </c>
      <c r="L227" t="s">
        <v>1340</v>
      </c>
    </row>
    <row r="228" spans="1:14">
      <c r="A228" t="s">
        <v>1046</v>
      </c>
      <c r="B228">
        <v>43</v>
      </c>
      <c r="C228" t="s">
        <v>1129</v>
      </c>
      <c r="D228">
        <v>17</v>
      </c>
      <c r="E228" s="2" t="s">
        <v>1665</v>
      </c>
      <c r="J228" t="s">
        <v>1046</v>
      </c>
      <c r="K228">
        <v>43</v>
      </c>
      <c r="L228" t="s">
        <v>1341</v>
      </c>
    </row>
    <row r="229" spans="1:14">
      <c r="A229" t="s">
        <v>171</v>
      </c>
      <c r="B229">
        <v>64</v>
      </c>
      <c r="C229" t="s">
        <v>489</v>
      </c>
      <c r="D229">
        <v>17</v>
      </c>
      <c r="E229" s="2" t="s">
        <v>1666</v>
      </c>
      <c r="J229" t="s">
        <v>171</v>
      </c>
      <c r="K229">
        <v>64</v>
      </c>
      <c r="L229" t="s">
        <v>1342</v>
      </c>
    </row>
    <row r="230" spans="1:14">
      <c r="A230" t="s">
        <v>187</v>
      </c>
      <c r="B230">
        <v>54</v>
      </c>
      <c r="C230" t="s">
        <v>479</v>
      </c>
      <c r="D230">
        <v>17</v>
      </c>
      <c r="E230" s="2" t="s">
        <v>1667</v>
      </c>
      <c r="J230" t="s">
        <v>187</v>
      </c>
      <c r="K230">
        <v>54</v>
      </c>
      <c r="L230" t="s">
        <v>1343</v>
      </c>
    </row>
    <row r="231" spans="1:14">
      <c r="A231" t="s">
        <v>533</v>
      </c>
      <c r="B231">
        <v>40</v>
      </c>
      <c r="C231" t="s">
        <v>1118</v>
      </c>
      <c r="D231">
        <v>17</v>
      </c>
      <c r="E231" s="2" t="s">
        <v>1668</v>
      </c>
      <c r="J231" t="s">
        <v>533</v>
      </c>
      <c r="K231">
        <v>40</v>
      </c>
      <c r="L231" t="s">
        <v>1344</v>
      </c>
    </row>
    <row r="232" spans="1:14">
      <c r="A232" t="s">
        <v>275</v>
      </c>
      <c r="B232">
        <v>43</v>
      </c>
      <c r="C232" t="s">
        <v>479</v>
      </c>
      <c r="D232">
        <v>17</v>
      </c>
      <c r="E232" s="2" t="s">
        <v>1669</v>
      </c>
      <c r="J232" t="s">
        <v>275</v>
      </c>
      <c r="K232">
        <v>43</v>
      </c>
      <c r="L232" t="s">
        <v>1345</v>
      </c>
    </row>
    <row r="233" spans="1:14">
      <c r="A233" t="s">
        <v>426</v>
      </c>
      <c r="B233">
        <v>51</v>
      </c>
      <c r="C233" t="s">
        <v>489</v>
      </c>
      <c r="D233">
        <v>17</v>
      </c>
      <c r="E233" s="2" t="s">
        <v>1670</v>
      </c>
      <c r="J233" t="s">
        <v>426</v>
      </c>
      <c r="K233">
        <v>51</v>
      </c>
      <c r="L233" t="s">
        <v>1346</v>
      </c>
    </row>
    <row r="234" spans="1:14">
      <c r="A234" t="s">
        <v>893</v>
      </c>
      <c r="B234">
        <v>59</v>
      </c>
      <c r="C234" t="s">
        <v>1118</v>
      </c>
      <c r="D234">
        <v>17</v>
      </c>
      <c r="E234" s="2" t="s">
        <v>1671</v>
      </c>
      <c r="J234" t="s">
        <v>893</v>
      </c>
      <c r="K234">
        <v>59</v>
      </c>
      <c r="L234" t="s">
        <v>1347</v>
      </c>
    </row>
    <row r="235" spans="1:14">
      <c r="A235" t="s">
        <v>1020</v>
      </c>
      <c r="B235">
        <v>29</v>
      </c>
      <c r="C235" t="s">
        <v>1129</v>
      </c>
      <c r="D235">
        <v>17</v>
      </c>
      <c r="E235" s="2" t="s">
        <v>1672</v>
      </c>
      <c r="J235" t="s">
        <v>1020</v>
      </c>
      <c r="K235">
        <v>29</v>
      </c>
      <c r="L235" t="s">
        <v>1348</v>
      </c>
    </row>
    <row r="236" spans="1:14">
      <c r="A236" t="s">
        <v>442</v>
      </c>
      <c r="B236">
        <v>53</v>
      </c>
      <c r="C236" t="s">
        <v>479</v>
      </c>
      <c r="D236">
        <v>17</v>
      </c>
      <c r="E236" s="2" t="s">
        <v>1673</v>
      </c>
      <c r="J236" t="s">
        <v>442</v>
      </c>
      <c r="K236">
        <v>53</v>
      </c>
      <c r="L236" t="s">
        <v>1349</v>
      </c>
    </row>
    <row r="237" spans="1:14">
      <c r="A237" t="s">
        <v>604</v>
      </c>
      <c r="B237">
        <v>39</v>
      </c>
      <c r="C237" t="s">
        <v>1118</v>
      </c>
      <c r="D237">
        <v>17</v>
      </c>
      <c r="E237" s="2" t="s">
        <v>1674</v>
      </c>
      <c r="J237" t="s">
        <v>604</v>
      </c>
      <c r="K237">
        <v>39</v>
      </c>
      <c r="L237" t="s">
        <v>1350</v>
      </c>
    </row>
    <row r="238" spans="1:14">
      <c r="A238" t="s">
        <v>167</v>
      </c>
      <c r="B238">
        <v>26</v>
      </c>
      <c r="C238" t="s">
        <v>497</v>
      </c>
      <c r="D238">
        <v>17</v>
      </c>
      <c r="E238" s="2" t="s">
        <v>1675</v>
      </c>
      <c r="J238" t="s">
        <v>167</v>
      </c>
      <c r="K238">
        <v>26</v>
      </c>
      <c r="L238" t="s">
        <v>1351</v>
      </c>
    </row>
    <row r="239" spans="1:14">
      <c r="A239" t="s">
        <v>575</v>
      </c>
      <c r="B239">
        <v>50</v>
      </c>
      <c r="C239" t="s">
        <v>1118</v>
      </c>
      <c r="D239">
        <v>17</v>
      </c>
      <c r="E239" s="2" t="s">
        <v>1676</v>
      </c>
      <c r="J239" t="s">
        <v>575</v>
      </c>
      <c r="K239">
        <v>50</v>
      </c>
      <c r="L239" t="s">
        <v>1352</v>
      </c>
    </row>
    <row r="240" spans="1:14">
      <c r="A240" t="s">
        <v>359</v>
      </c>
      <c r="B240">
        <v>65</v>
      </c>
      <c r="C240" t="s">
        <v>479</v>
      </c>
      <c r="D240">
        <v>18</v>
      </c>
      <c r="E240" s="2" t="s">
        <v>1677</v>
      </c>
      <c r="J240" t="s">
        <v>359</v>
      </c>
      <c r="K240">
        <v>65</v>
      </c>
      <c r="L240" t="s">
        <v>1353</v>
      </c>
    </row>
    <row r="241" spans="1:14">
      <c r="A241" t="s">
        <v>628</v>
      </c>
      <c r="B241">
        <v>52</v>
      </c>
      <c r="C241" t="s">
        <v>1118</v>
      </c>
      <c r="D241">
        <v>18</v>
      </c>
      <c r="E241" s="2" t="s">
        <v>1678</v>
      </c>
      <c r="J241" t="s">
        <v>628</v>
      </c>
      <c r="K241">
        <v>52</v>
      </c>
      <c r="L241" t="s">
        <v>1354</v>
      </c>
    </row>
    <row r="242" spans="1:14">
      <c r="A242" t="s">
        <v>847</v>
      </c>
      <c r="B242">
        <v>27</v>
      </c>
      <c r="C242" t="s">
        <v>1118</v>
      </c>
      <c r="D242">
        <v>18</v>
      </c>
      <c r="E242" s="2" t="s">
        <v>1679</v>
      </c>
      <c r="J242" t="s">
        <v>847</v>
      </c>
      <c r="K242">
        <v>27</v>
      </c>
      <c r="L242" t="s">
        <v>1355</v>
      </c>
    </row>
    <row r="243" spans="1:14">
      <c r="A243" t="s">
        <v>960</v>
      </c>
      <c r="B243">
        <v>28</v>
      </c>
      <c r="C243" t="s">
        <v>1129</v>
      </c>
      <c r="D243">
        <v>18</v>
      </c>
      <c r="E243" s="2" t="s">
        <v>1680</v>
      </c>
      <c r="J243" t="s">
        <v>960</v>
      </c>
      <c r="K243">
        <v>28</v>
      </c>
      <c r="L243" t="s">
        <v>1356</v>
      </c>
    </row>
    <row r="244" spans="1:14">
      <c r="A244" t="s">
        <v>139</v>
      </c>
      <c r="B244">
        <v>67</v>
      </c>
      <c r="C244" t="s">
        <v>485</v>
      </c>
      <c r="D244">
        <v>18</v>
      </c>
      <c r="E244" s="2" t="s">
        <v>1681</v>
      </c>
      <c r="J244" t="s">
        <v>139</v>
      </c>
      <c r="K244">
        <v>67</v>
      </c>
      <c r="L244" t="s">
        <v>1357</v>
      </c>
    </row>
    <row r="245" spans="1:14">
      <c r="A245" t="s">
        <v>996</v>
      </c>
      <c r="B245">
        <v>32</v>
      </c>
      <c r="C245" t="s">
        <v>1129</v>
      </c>
      <c r="D245">
        <v>18</v>
      </c>
      <c r="E245" s="2" t="s">
        <v>1682</v>
      </c>
      <c r="J245" t="s">
        <v>996</v>
      </c>
      <c r="K245">
        <v>32</v>
      </c>
      <c r="L245" t="s">
        <v>1358</v>
      </c>
    </row>
    <row r="246" spans="1:14">
      <c r="A246" t="s">
        <v>327</v>
      </c>
      <c r="B246">
        <v>48</v>
      </c>
      <c r="C246" t="s">
        <v>479</v>
      </c>
      <c r="D246">
        <v>18</v>
      </c>
      <c r="E246" s="2" t="s">
        <v>1683</v>
      </c>
      <c r="J246" t="s">
        <v>327</v>
      </c>
      <c r="K246">
        <v>48</v>
      </c>
      <c r="L246" t="s">
        <v>1359</v>
      </c>
    </row>
    <row r="247" spans="1:14">
      <c r="A247" t="s">
        <v>467</v>
      </c>
      <c r="B247">
        <v>51</v>
      </c>
      <c r="C247" t="s">
        <v>479</v>
      </c>
      <c r="D247">
        <v>18</v>
      </c>
      <c r="E247" s="2" t="s">
        <v>1684</v>
      </c>
      <c r="J247" t="s">
        <v>467</v>
      </c>
      <c r="K247">
        <v>51</v>
      </c>
      <c r="L247" t="s">
        <v>1360</v>
      </c>
    </row>
    <row r="248" spans="1:14">
      <c r="A248" t="s">
        <v>227</v>
      </c>
      <c r="B248">
        <v>15</v>
      </c>
      <c r="C248" t="s">
        <v>485</v>
      </c>
      <c r="D248">
        <v>18</v>
      </c>
      <c r="E248" s="2" t="s">
        <v>1685</v>
      </c>
      <c r="J248" t="s">
        <v>227</v>
      </c>
      <c r="K248">
        <v>15</v>
      </c>
      <c r="L248" t="s">
        <v>1361</v>
      </c>
    </row>
    <row r="249" spans="1:14">
      <c r="A249" t="s">
        <v>680</v>
      </c>
      <c r="B249">
        <v>21</v>
      </c>
      <c r="C249" t="s">
        <v>1118</v>
      </c>
      <c r="D249">
        <v>18</v>
      </c>
      <c r="E249" s="2" t="s">
        <v>1686</v>
      </c>
      <c r="J249" t="s">
        <v>680</v>
      </c>
      <c r="K249">
        <v>21</v>
      </c>
      <c r="L249" t="s">
        <v>1362</v>
      </c>
    </row>
    <row r="250" spans="1:14">
      <c r="A250" t="s">
        <v>951</v>
      </c>
      <c r="B250">
        <v>40</v>
      </c>
      <c r="C250" t="s">
        <v>1129</v>
      </c>
      <c r="D250">
        <v>18</v>
      </c>
      <c r="E250" s="2" t="s">
        <v>1687</v>
      </c>
      <c r="J250" t="s">
        <v>951</v>
      </c>
      <c r="K250">
        <v>40</v>
      </c>
      <c r="L250" t="s">
        <v>1363</v>
      </c>
    </row>
    <row r="251" spans="1:14">
      <c r="A251" t="s">
        <v>749</v>
      </c>
      <c r="B251">
        <v>31</v>
      </c>
      <c r="C251" t="s">
        <v>1118</v>
      </c>
      <c r="D251">
        <v>18</v>
      </c>
      <c r="E251" s="2" t="s">
        <v>1688</v>
      </c>
      <c r="J251" t="s">
        <v>749</v>
      </c>
      <c r="K251">
        <v>31</v>
      </c>
      <c r="L251" t="s">
        <v>1364</v>
      </c>
    </row>
    <row r="252" spans="1:14">
      <c r="A252" t="s">
        <v>832</v>
      </c>
      <c r="B252">
        <v>24</v>
      </c>
      <c r="C252" t="s">
        <v>1118</v>
      </c>
      <c r="D252">
        <v>18</v>
      </c>
      <c r="E252" s="2" t="s">
        <v>1689</v>
      </c>
      <c r="J252" t="s">
        <v>832</v>
      </c>
      <c r="K252">
        <v>24</v>
      </c>
      <c r="L252" t="s">
        <v>1365</v>
      </c>
    </row>
    <row r="253" spans="1:14" s="1" customFormat="1">
      <c r="E253" s="5" t="s">
        <v>1690</v>
      </c>
      <c r="F253" s="1" t="s">
        <v>1450</v>
      </c>
      <c r="N253" t="s">
        <v>1430</v>
      </c>
    </row>
    <row r="254" spans="1:14">
      <c r="A254" t="s">
        <v>572</v>
      </c>
      <c r="B254">
        <v>30</v>
      </c>
      <c r="C254" t="s">
        <v>1118</v>
      </c>
      <c r="D254">
        <v>19</v>
      </c>
      <c r="E254" s="2" t="s">
        <v>1691</v>
      </c>
      <c r="J254" t="s">
        <v>572</v>
      </c>
      <c r="K254">
        <v>30</v>
      </c>
      <c r="L254" t="s">
        <v>1366</v>
      </c>
    </row>
    <row r="255" spans="1:14">
      <c r="A255" t="s">
        <v>692</v>
      </c>
      <c r="B255">
        <v>27</v>
      </c>
      <c r="C255" t="s">
        <v>1118</v>
      </c>
      <c r="D255">
        <v>19</v>
      </c>
      <c r="E255" s="2" t="s">
        <v>1692</v>
      </c>
      <c r="J255" t="s">
        <v>692</v>
      </c>
      <c r="K255">
        <v>27</v>
      </c>
      <c r="L255" t="s">
        <v>1367</v>
      </c>
    </row>
    <row r="256" spans="1:14">
      <c r="A256" t="s">
        <v>859</v>
      </c>
      <c r="B256">
        <v>23</v>
      </c>
      <c r="C256" t="s">
        <v>1118</v>
      </c>
      <c r="D256">
        <v>19</v>
      </c>
      <c r="E256" s="2" t="s">
        <v>1693</v>
      </c>
      <c r="J256" t="s">
        <v>859</v>
      </c>
      <c r="K256">
        <v>23</v>
      </c>
      <c r="L256" t="s">
        <v>1368</v>
      </c>
    </row>
    <row r="257" spans="1:14">
      <c r="A257" t="s">
        <v>34</v>
      </c>
      <c r="B257">
        <v>48</v>
      </c>
      <c r="C257" t="s">
        <v>485</v>
      </c>
      <c r="D257">
        <v>19</v>
      </c>
      <c r="E257" s="2" t="s">
        <v>1694</v>
      </c>
      <c r="J257" t="s">
        <v>34</v>
      </c>
      <c r="K257">
        <v>48</v>
      </c>
      <c r="L257" s="10" t="s">
        <v>1369</v>
      </c>
      <c r="N257" s="2" t="s">
        <v>1431</v>
      </c>
    </row>
    <row r="258" spans="1:14">
      <c r="A258" t="s">
        <v>737</v>
      </c>
      <c r="B258">
        <v>35</v>
      </c>
      <c r="C258" t="s">
        <v>1118</v>
      </c>
      <c r="D258">
        <v>19</v>
      </c>
      <c r="E258" s="2" t="s">
        <v>1695</v>
      </c>
      <c r="J258" t="s">
        <v>737</v>
      </c>
      <c r="K258">
        <v>35</v>
      </c>
      <c r="L258" t="s">
        <v>1370</v>
      </c>
    </row>
    <row r="259" spans="1:14">
      <c r="A259" t="s">
        <v>91</v>
      </c>
      <c r="B259">
        <v>63</v>
      </c>
      <c r="C259" t="s">
        <v>479</v>
      </c>
      <c r="D259">
        <v>19</v>
      </c>
      <c r="E259" s="2" t="s">
        <v>1696</v>
      </c>
      <c r="J259" t="s">
        <v>91</v>
      </c>
      <c r="K259">
        <v>63</v>
      </c>
      <c r="L259" t="s">
        <v>1371</v>
      </c>
    </row>
    <row r="260" spans="1:14">
      <c r="A260" t="s">
        <v>379</v>
      </c>
      <c r="B260">
        <v>46</v>
      </c>
      <c r="C260" t="s">
        <v>485</v>
      </c>
      <c r="D260">
        <v>19</v>
      </c>
      <c r="E260" s="2" t="s">
        <v>1697</v>
      </c>
      <c r="J260" t="s">
        <v>379</v>
      </c>
      <c r="K260">
        <v>46</v>
      </c>
      <c r="L260" t="s">
        <v>1372</v>
      </c>
    </row>
    <row r="261" spans="1:14">
      <c r="A261" t="s">
        <v>143</v>
      </c>
      <c r="B261">
        <v>60</v>
      </c>
      <c r="C261" t="s">
        <v>479</v>
      </c>
      <c r="D261">
        <v>19</v>
      </c>
      <c r="E261" s="2" t="s">
        <v>1698</v>
      </c>
      <c r="J261" t="s">
        <v>143</v>
      </c>
      <c r="K261">
        <v>60</v>
      </c>
      <c r="L261" t="s">
        <v>1373</v>
      </c>
    </row>
    <row r="262" spans="1:14">
      <c r="A262" t="s">
        <v>835</v>
      </c>
      <c r="B262">
        <v>24</v>
      </c>
      <c r="C262" t="s">
        <v>1118</v>
      </c>
      <c r="D262">
        <v>19</v>
      </c>
      <c r="E262" s="2" t="s">
        <v>1699</v>
      </c>
      <c r="J262" t="s">
        <v>835</v>
      </c>
      <c r="K262">
        <v>24</v>
      </c>
      <c r="L262" t="s">
        <v>1374</v>
      </c>
    </row>
    <row r="263" spans="1:14">
      <c r="A263" t="s">
        <v>625</v>
      </c>
      <c r="B263">
        <v>35</v>
      </c>
      <c r="C263" t="s">
        <v>1118</v>
      </c>
      <c r="D263">
        <v>19</v>
      </c>
      <c r="E263" s="2" t="s">
        <v>1700</v>
      </c>
      <c r="J263" t="s">
        <v>625</v>
      </c>
      <c r="K263">
        <v>35</v>
      </c>
      <c r="L263" t="s">
        <v>1375</v>
      </c>
    </row>
    <row r="264" spans="1:14">
      <c r="A264" t="s">
        <v>1106</v>
      </c>
      <c r="B264">
        <v>48</v>
      </c>
      <c r="C264" t="s">
        <v>1129</v>
      </c>
      <c r="D264">
        <v>19</v>
      </c>
      <c r="E264" s="2" t="s">
        <v>1701</v>
      </c>
      <c r="J264" t="s">
        <v>1106</v>
      </c>
      <c r="K264">
        <v>48</v>
      </c>
      <c r="L264" t="s">
        <v>1376</v>
      </c>
    </row>
    <row r="265" spans="1:14">
      <c r="A265" t="s">
        <v>844</v>
      </c>
      <c r="B265">
        <v>29</v>
      </c>
      <c r="C265" t="s">
        <v>1118</v>
      </c>
      <c r="D265">
        <v>19</v>
      </c>
      <c r="E265" s="2" t="s">
        <v>1702</v>
      </c>
      <c r="J265" t="s">
        <v>844</v>
      </c>
      <c r="K265">
        <v>29</v>
      </c>
      <c r="L265" t="s">
        <v>1377</v>
      </c>
    </row>
    <row r="266" spans="1:14">
      <c r="A266" t="s">
        <v>969</v>
      </c>
      <c r="B266">
        <v>32</v>
      </c>
      <c r="C266" t="s">
        <v>1129</v>
      </c>
      <c r="D266">
        <v>19</v>
      </c>
      <c r="E266" s="2" t="s">
        <v>1703</v>
      </c>
      <c r="J266" t="s">
        <v>969</v>
      </c>
      <c r="K266">
        <v>32</v>
      </c>
      <c r="L266" t="s">
        <v>1378</v>
      </c>
    </row>
    <row r="267" spans="1:14">
      <c r="A267" t="s">
        <v>921</v>
      </c>
      <c r="B267">
        <v>35</v>
      </c>
      <c r="C267" t="s">
        <v>1129</v>
      </c>
      <c r="D267">
        <v>19</v>
      </c>
      <c r="E267" s="2" t="s">
        <v>1704</v>
      </c>
      <c r="J267" t="s">
        <v>921</v>
      </c>
      <c r="K267">
        <v>35</v>
      </c>
      <c r="L267" t="s">
        <v>1379</v>
      </c>
    </row>
    <row r="268" spans="1:14">
      <c r="A268" t="s">
        <v>311</v>
      </c>
      <c r="B268">
        <v>52</v>
      </c>
      <c r="C268" t="s">
        <v>485</v>
      </c>
      <c r="D268">
        <v>20</v>
      </c>
      <c r="E268" s="2" t="s">
        <v>1705</v>
      </c>
      <c r="J268" t="s">
        <v>311</v>
      </c>
      <c r="K268">
        <v>52</v>
      </c>
      <c r="L268" t="s">
        <v>1380</v>
      </c>
    </row>
    <row r="269" spans="1:14">
      <c r="A269" t="s">
        <v>966</v>
      </c>
      <c r="B269">
        <v>41</v>
      </c>
      <c r="C269" t="s">
        <v>1129</v>
      </c>
      <c r="D269">
        <v>20</v>
      </c>
      <c r="E269" s="2" t="s">
        <v>1706</v>
      </c>
      <c r="J269" t="s">
        <v>966</v>
      </c>
      <c r="K269">
        <v>41</v>
      </c>
      <c r="L269" t="s">
        <v>1381</v>
      </c>
    </row>
    <row r="270" spans="1:14">
      <c r="A270" t="s">
        <v>539</v>
      </c>
      <c r="B270">
        <v>40</v>
      </c>
      <c r="C270" t="s">
        <v>1118</v>
      </c>
      <c r="D270">
        <v>20</v>
      </c>
      <c r="E270" s="2" t="s">
        <v>1707</v>
      </c>
      <c r="J270" t="s">
        <v>539</v>
      </c>
      <c r="K270">
        <v>40</v>
      </c>
      <c r="L270" t="s">
        <v>1382</v>
      </c>
    </row>
    <row r="271" spans="1:14">
      <c r="A271" t="s">
        <v>972</v>
      </c>
      <c r="B271">
        <v>29</v>
      </c>
      <c r="C271" t="s">
        <v>1129</v>
      </c>
      <c r="D271">
        <v>20</v>
      </c>
      <c r="E271" s="2" t="s">
        <v>1708</v>
      </c>
      <c r="J271" t="s">
        <v>972</v>
      </c>
      <c r="K271">
        <v>29</v>
      </c>
      <c r="L271" t="s">
        <v>1383</v>
      </c>
    </row>
    <row r="272" spans="1:14">
      <c r="A272" t="s">
        <v>101</v>
      </c>
      <c r="B272">
        <v>55</v>
      </c>
      <c r="C272" t="s">
        <v>479</v>
      </c>
      <c r="D272">
        <v>20</v>
      </c>
      <c r="E272" s="2" t="s">
        <v>1709</v>
      </c>
      <c r="J272" t="s">
        <v>101</v>
      </c>
      <c r="K272">
        <v>55</v>
      </c>
      <c r="L272" t="s">
        <v>1384</v>
      </c>
    </row>
    <row r="273" spans="1:12">
      <c r="A273" t="s">
        <v>878</v>
      </c>
      <c r="B273">
        <v>53</v>
      </c>
      <c r="C273" t="s">
        <v>1118</v>
      </c>
      <c r="D273">
        <v>20</v>
      </c>
      <c r="E273" s="2" t="s">
        <v>1710</v>
      </c>
      <c r="J273" t="s">
        <v>878</v>
      </c>
      <c r="K273">
        <v>53</v>
      </c>
      <c r="L273" t="s">
        <v>1385</v>
      </c>
    </row>
    <row r="274" spans="1:12">
      <c r="A274" t="s">
        <v>1067</v>
      </c>
      <c r="B274">
        <v>38</v>
      </c>
      <c r="C274" t="s">
        <v>1129</v>
      </c>
      <c r="D274">
        <v>20</v>
      </c>
      <c r="E274" s="2" t="s">
        <v>1711</v>
      </c>
      <c r="J274" t="s">
        <v>1067</v>
      </c>
      <c r="K274">
        <v>38</v>
      </c>
      <c r="L274" t="s">
        <v>1386</v>
      </c>
    </row>
    <row r="275" spans="1:12">
      <c r="A275" t="s">
        <v>719</v>
      </c>
      <c r="B275">
        <v>26</v>
      </c>
      <c r="C275" t="s">
        <v>1118</v>
      </c>
      <c r="D275">
        <v>20</v>
      </c>
      <c r="E275" s="2" t="s">
        <v>1712</v>
      </c>
      <c r="J275" t="s">
        <v>719</v>
      </c>
      <c r="K275">
        <v>26</v>
      </c>
      <c r="L275" t="s">
        <v>1387</v>
      </c>
    </row>
    <row r="276" spans="1:12">
      <c r="A276" t="s">
        <v>957</v>
      </c>
      <c r="B276">
        <v>45</v>
      </c>
      <c r="C276" t="s">
        <v>1129</v>
      </c>
      <c r="D276">
        <v>20</v>
      </c>
      <c r="E276" s="2" t="s">
        <v>1713</v>
      </c>
      <c r="J276" t="s">
        <v>957</v>
      </c>
      <c r="K276">
        <v>45</v>
      </c>
      <c r="L276" t="s">
        <v>1388</v>
      </c>
    </row>
    <row r="277" spans="1:12">
      <c r="A277" t="s">
        <v>25</v>
      </c>
      <c r="B277">
        <v>49</v>
      </c>
      <c r="C277" t="s">
        <v>479</v>
      </c>
      <c r="D277">
        <v>20</v>
      </c>
      <c r="E277" s="2" t="s">
        <v>1714</v>
      </c>
      <c r="J277" t="s">
        <v>25</v>
      </c>
      <c r="K277">
        <v>49</v>
      </c>
      <c r="L277" t="s">
        <v>1389</v>
      </c>
    </row>
    <row r="278" spans="1:12">
      <c r="A278" t="s">
        <v>661</v>
      </c>
      <c r="B278">
        <v>39</v>
      </c>
      <c r="C278" t="s">
        <v>1118</v>
      </c>
      <c r="D278">
        <v>20</v>
      </c>
      <c r="E278" s="2" t="s">
        <v>1715</v>
      </c>
      <c r="J278" t="s">
        <v>661</v>
      </c>
      <c r="K278">
        <v>39</v>
      </c>
      <c r="L278" t="s">
        <v>1390</v>
      </c>
    </row>
    <row r="279" spans="1:12">
      <c r="A279" t="s">
        <v>283</v>
      </c>
      <c r="B279">
        <v>62</v>
      </c>
      <c r="C279" t="s">
        <v>493</v>
      </c>
      <c r="D279">
        <v>20</v>
      </c>
      <c r="E279" s="2" t="s">
        <v>1716</v>
      </c>
      <c r="J279" t="s">
        <v>283</v>
      </c>
      <c r="K279">
        <v>62</v>
      </c>
      <c r="L279" t="s">
        <v>1391</v>
      </c>
    </row>
    <row r="280" spans="1:12">
      <c r="A280" t="s">
        <v>945</v>
      </c>
      <c r="B280">
        <v>51</v>
      </c>
      <c r="C280" t="s">
        <v>1129</v>
      </c>
      <c r="D280">
        <v>20</v>
      </c>
      <c r="E280" s="2" t="s">
        <v>1717</v>
      </c>
      <c r="J280" t="s">
        <v>945</v>
      </c>
      <c r="K280">
        <v>51</v>
      </c>
      <c r="L280" t="s">
        <v>1392</v>
      </c>
    </row>
    <row r="281" spans="1:12">
      <c r="A281" t="s">
        <v>643</v>
      </c>
      <c r="B281">
        <v>20</v>
      </c>
      <c r="C281" t="s">
        <v>1118</v>
      </c>
      <c r="D281">
        <v>20</v>
      </c>
      <c r="E281" s="2" t="s">
        <v>1718</v>
      </c>
      <c r="J281" t="s">
        <v>643</v>
      </c>
      <c r="K281">
        <v>20</v>
      </c>
      <c r="L281" t="s">
        <v>1393</v>
      </c>
    </row>
    <row r="282" spans="1:12">
      <c r="A282" t="s">
        <v>1073</v>
      </c>
      <c r="B282">
        <v>34</v>
      </c>
      <c r="C282" t="s">
        <v>1129</v>
      </c>
      <c r="D282">
        <v>21</v>
      </c>
      <c r="E282" s="2" t="s">
        <v>1719</v>
      </c>
      <c r="J282" t="s">
        <v>1073</v>
      </c>
      <c r="K282">
        <v>34</v>
      </c>
      <c r="L282" t="s">
        <v>1394</v>
      </c>
    </row>
    <row r="283" spans="1:12">
      <c r="A283" t="s">
        <v>652</v>
      </c>
      <c r="B283">
        <v>43</v>
      </c>
      <c r="C283" t="s">
        <v>1118</v>
      </c>
      <c r="D283">
        <v>21</v>
      </c>
      <c r="E283" s="2" t="s">
        <v>1720</v>
      </c>
      <c r="J283" t="s">
        <v>652</v>
      </c>
      <c r="K283">
        <v>43</v>
      </c>
      <c r="L283" t="s">
        <v>1395</v>
      </c>
    </row>
    <row r="284" spans="1:12">
      <c r="A284" t="s">
        <v>978</v>
      </c>
      <c r="B284">
        <v>51</v>
      </c>
      <c r="C284" t="s">
        <v>1129</v>
      </c>
      <c r="D284">
        <v>21</v>
      </c>
      <c r="E284" s="2" t="s">
        <v>1721</v>
      </c>
      <c r="J284" t="s">
        <v>978</v>
      </c>
      <c r="K284">
        <v>51</v>
      </c>
      <c r="L284" t="s">
        <v>1396</v>
      </c>
    </row>
    <row r="285" spans="1:12">
      <c r="A285" t="s">
        <v>838</v>
      </c>
      <c r="B285">
        <v>55</v>
      </c>
      <c r="C285" t="s">
        <v>1118</v>
      </c>
      <c r="D285">
        <v>21</v>
      </c>
      <c r="E285" s="2" t="s">
        <v>1722</v>
      </c>
      <c r="J285" t="s">
        <v>838</v>
      </c>
      <c r="K285">
        <v>55</v>
      </c>
      <c r="L285" t="s">
        <v>1397</v>
      </c>
    </row>
    <row r="286" spans="1:12">
      <c r="A286" t="s">
        <v>981</v>
      </c>
      <c r="B286">
        <v>32</v>
      </c>
      <c r="C286" t="s">
        <v>1129</v>
      </c>
      <c r="D286">
        <v>21</v>
      </c>
      <c r="E286" s="2" t="s">
        <v>1723</v>
      </c>
      <c r="J286" t="s">
        <v>981</v>
      </c>
      <c r="K286">
        <v>32</v>
      </c>
      <c r="L286" t="s">
        <v>1398</v>
      </c>
    </row>
    <row r="287" spans="1:12">
      <c r="A287" t="s">
        <v>918</v>
      </c>
      <c r="B287">
        <v>42</v>
      </c>
      <c r="C287" t="s">
        <v>1129</v>
      </c>
      <c r="D287">
        <v>21</v>
      </c>
      <c r="E287" s="2" t="s">
        <v>1724</v>
      </c>
      <c r="J287" t="s">
        <v>918</v>
      </c>
      <c r="K287">
        <v>42</v>
      </c>
      <c r="L287" t="s">
        <v>1399</v>
      </c>
    </row>
    <row r="288" spans="1:12">
      <c r="A288" t="s">
        <v>203</v>
      </c>
      <c r="B288">
        <v>25</v>
      </c>
      <c r="C288" t="s">
        <v>485</v>
      </c>
      <c r="D288">
        <v>21</v>
      </c>
      <c r="E288" s="2" t="s">
        <v>1725</v>
      </c>
      <c r="J288" t="s">
        <v>203</v>
      </c>
      <c r="K288">
        <v>25</v>
      </c>
      <c r="L288" t="s">
        <v>1400</v>
      </c>
    </row>
    <row r="289" spans="1:14">
      <c r="A289" t="s">
        <v>598</v>
      </c>
      <c r="B289">
        <v>42</v>
      </c>
      <c r="C289" t="s">
        <v>1118</v>
      </c>
      <c r="D289">
        <v>21</v>
      </c>
      <c r="E289" s="2" t="s">
        <v>1726</v>
      </c>
      <c r="J289" t="s">
        <v>598</v>
      </c>
      <c r="K289">
        <v>42</v>
      </c>
      <c r="L289" t="s">
        <v>1401</v>
      </c>
    </row>
    <row r="290" spans="1:14">
      <c r="A290" t="s">
        <v>884</v>
      </c>
      <c r="B290">
        <v>48</v>
      </c>
      <c r="C290" t="s">
        <v>1118</v>
      </c>
      <c r="D290">
        <v>21</v>
      </c>
      <c r="E290" s="2" t="s">
        <v>1727</v>
      </c>
      <c r="J290" t="s">
        <v>884</v>
      </c>
      <c r="K290">
        <v>48</v>
      </c>
      <c r="L290" t="s">
        <v>1402</v>
      </c>
    </row>
    <row r="291" spans="1:14">
      <c r="A291" t="s">
        <v>183</v>
      </c>
      <c r="B291">
        <v>63</v>
      </c>
      <c r="C291" t="s">
        <v>479</v>
      </c>
      <c r="D291">
        <v>21</v>
      </c>
      <c r="E291" s="2" t="s">
        <v>1728</v>
      </c>
      <c r="J291" t="s">
        <v>183</v>
      </c>
      <c r="K291">
        <v>63</v>
      </c>
      <c r="L291" t="s">
        <v>1403</v>
      </c>
    </row>
    <row r="292" spans="1:14">
      <c r="A292" t="s">
        <v>76</v>
      </c>
      <c r="B292">
        <v>47</v>
      </c>
      <c r="C292" t="s">
        <v>479</v>
      </c>
      <c r="D292">
        <v>21</v>
      </c>
      <c r="E292" s="2" t="s">
        <v>1729</v>
      </c>
      <c r="J292" t="s">
        <v>76</v>
      </c>
      <c r="K292">
        <v>47</v>
      </c>
      <c r="L292" t="s">
        <v>1404</v>
      </c>
    </row>
    <row r="293" spans="1:14">
      <c r="A293" t="s">
        <v>1115</v>
      </c>
      <c r="B293">
        <v>27</v>
      </c>
      <c r="C293" t="s">
        <v>1129</v>
      </c>
      <c r="D293">
        <v>21</v>
      </c>
      <c r="E293" s="2" t="s">
        <v>1730</v>
      </c>
      <c r="J293" t="s">
        <v>1115</v>
      </c>
      <c r="K293">
        <v>27</v>
      </c>
      <c r="L293" t="s">
        <v>1405</v>
      </c>
    </row>
    <row r="294" spans="1:14">
      <c r="A294" t="s">
        <v>841</v>
      </c>
      <c r="B294">
        <v>26</v>
      </c>
      <c r="C294" t="s">
        <v>1118</v>
      </c>
      <c r="D294">
        <v>21</v>
      </c>
      <c r="E294" s="2" t="s">
        <v>1731</v>
      </c>
      <c r="J294" t="s">
        <v>841</v>
      </c>
      <c r="K294">
        <v>26</v>
      </c>
      <c r="L294" t="s">
        <v>1406</v>
      </c>
    </row>
    <row r="295" spans="1:14" s="1" customFormat="1">
      <c r="E295" s="5" t="s">
        <v>1732</v>
      </c>
      <c r="F295" s="1" t="s">
        <v>1450</v>
      </c>
      <c r="J295"/>
      <c r="L295"/>
      <c r="N295" s="5" t="s">
        <v>1424</v>
      </c>
    </row>
    <row r="296" spans="1:14">
      <c r="A296" t="s">
        <v>755</v>
      </c>
      <c r="B296">
        <v>25</v>
      </c>
      <c r="C296" t="s">
        <v>1118</v>
      </c>
      <c r="D296">
        <v>22</v>
      </c>
      <c r="E296" s="2" t="s">
        <v>1733</v>
      </c>
      <c r="J296" t="s">
        <v>755</v>
      </c>
      <c r="K296">
        <v>25</v>
      </c>
      <c r="L296" t="s">
        <v>1407</v>
      </c>
    </row>
    <row r="297" spans="1:14">
      <c r="A297" t="s">
        <v>554</v>
      </c>
      <c r="B297">
        <v>35</v>
      </c>
      <c r="C297" t="s">
        <v>1118</v>
      </c>
      <c r="D297">
        <v>22</v>
      </c>
      <c r="E297" s="2" t="s">
        <v>1734</v>
      </c>
      <c r="J297" t="s">
        <v>554</v>
      </c>
      <c r="K297">
        <v>35</v>
      </c>
      <c r="L297" t="s">
        <v>1408</v>
      </c>
    </row>
    <row r="298" spans="1:14">
      <c r="A298" t="s">
        <v>123</v>
      </c>
      <c r="B298">
        <v>48</v>
      </c>
      <c r="C298" t="s">
        <v>479</v>
      </c>
      <c r="D298">
        <v>22</v>
      </c>
      <c r="E298" s="2" t="s">
        <v>1735</v>
      </c>
      <c r="J298" t="s">
        <v>123</v>
      </c>
      <c r="K298">
        <v>48</v>
      </c>
      <c r="L298" s="10" t="s">
        <v>1409</v>
      </c>
      <c r="N298" s="2" t="s">
        <v>1428</v>
      </c>
    </row>
    <row r="299" spans="1:14">
      <c r="A299" t="s">
        <v>131</v>
      </c>
      <c r="B299">
        <v>63</v>
      </c>
      <c r="C299" t="s">
        <v>481</v>
      </c>
      <c r="D299">
        <v>22</v>
      </c>
      <c r="E299" s="2" t="s">
        <v>1736</v>
      </c>
      <c r="J299" t="s">
        <v>131</v>
      </c>
      <c r="K299">
        <v>63</v>
      </c>
      <c r="L299" t="s">
        <v>1410</v>
      </c>
    </row>
    <row r="300" spans="1:14">
      <c r="A300" t="s">
        <v>86</v>
      </c>
      <c r="B300">
        <v>66</v>
      </c>
      <c r="C300" t="s">
        <v>479</v>
      </c>
      <c r="D300">
        <v>22</v>
      </c>
      <c r="E300" s="2" t="s">
        <v>1737</v>
      </c>
      <c r="J300" t="s">
        <v>86</v>
      </c>
      <c r="K300">
        <v>66</v>
      </c>
      <c r="L300" t="s">
        <v>1411</v>
      </c>
    </row>
    <row r="301" spans="1:14">
      <c r="A301" t="s">
        <v>667</v>
      </c>
      <c r="B301">
        <v>38</v>
      </c>
      <c r="C301" t="s">
        <v>1118</v>
      </c>
      <c r="D301">
        <v>22</v>
      </c>
      <c r="E301" s="2" t="s">
        <v>1738</v>
      </c>
      <c r="J301" t="s">
        <v>667</v>
      </c>
      <c r="K301">
        <v>38</v>
      </c>
      <c r="L301" t="s">
        <v>1412</v>
      </c>
    </row>
    <row r="302" spans="1:14">
      <c r="A302" t="s">
        <v>783</v>
      </c>
      <c r="B302">
        <v>30</v>
      </c>
      <c r="C302" t="s">
        <v>1118</v>
      </c>
      <c r="D302">
        <v>22</v>
      </c>
      <c r="E302" s="2" t="s">
        <v>1739</v>
      </c>
      <c r="J302" t="s">
        <v>783</v>
      </c>
      <c r="K302">
        <v>30</v>
      </c>
      <c r="L302" t="s">
        <v>1413</v>
      </c>
    </row>
    <row r="303" spans="1:14">
      <c r="A303" t="s">
        <v>96</v>
      </c>
      <c r="B303">
        <v>42</v>
      </c>
      <c r="C303" t="s">
        <v>479</v>
      </c>
      <c r="D303">
        <v>22</v>
      </c>
      <c r="E303" s="2" t="s">
        <v>1740</v>
      </c>
      <c r="J303" t="s">
        <v>96</v>
      </c>
      <c r="K303">
        <v>42</v>
      </c>
      <c r="L303" t="s">
        <v>1414</v>
      </c>
    </row>
    <row r="304" spans="1:14">
      <c r="A304" t="s">
        <v>211</v>
      </c>
      <c r="B304">
        <v>57</v>
      </c>
      <c r="C304" t="s">
        <v>493</v>
      </c>
      <c r="D304">
        <v>22</v>
      </c>
      <c r="E304" s="2" t="s">
        <v>1741</v>
      </c>
      <c r="J304" t="s">
        <v>211</v>
      </c>
      <c r="K304">
        <v>57</v>
      </c>
      <c r="L304" t="s">
        <v>1415</v>
      </c>
    </row>
    <row r="305" spans="1:12">
      <c r="A305" t="s">
        <v>1017</v>
      </c>
      <c r="B305">
        <v>45</v>
      </c>
      <c r="C305" t="s">
        <v>1129</v>
      </c>
      <c r="D305">
        <v>22</v>
      </c>
      <c r="E305" s="2" t="s">
        <v>1742</v>
      </c>
      <c r="J305" t="s">
        <v>1017</v>
      </c>
      <c r="K305">
        <v>45</v>
      </c>
      <c r="L305" t="s">
        <v>1416</v>
      </c>
    </row>
    <row r="306" spans="1:12">
      <c r="A306" t="s">
        <v>990</v>
      </c>
      <c r="B306">
        <v>32</v>
      </c>
      <c r="C306" t="s">
        <v>1129</v>
      </c>
      <c r="D306">
        <v>22</v>
      </c>
      <c r="E306" s="2" t="s">
        <v>1743</v>
      </c>
      <c r="J306" t="s">
        <v>990</v>
      </c>
      <c r="K306">
        <v>32</v>
      </c>
      <c r="L306" t="s">
        <v>1417</v>
      </c>
    </row>
    <row r="307" spans="1:12">
      <c r="A307" t="s">
        <v>887</v>
      </c>
      <c r="B307">
        <v>47</v>
      </c>
      <c r="C307" t="s">
        <v>1118</v>
      </c>
      <c r="D307">
        <v>22</v>
      </c>
      <c r="E307" s="2" t="s">
        <v>1744</v>
      </c>
      <c r="J307" t="s">
        <v>887</v>
      </c>
      <c r="K307">
        <v>47</v>
      </c>
      <c r="L307" t="s">
        <v>1418</v>
      </c>
    </row>
    <row r="308" spans="1:12">
      <c r="A308" t="s">
        <v>1076</v>
      </c>
      <c r="B308">
        <v>48</v>
      </c>
      <c r="C308" t="s">
        <v>1129</v>
      </c>
      <c r="D308">
        <v>22</v>
      </c>
      <c r="E308" s="2" t="s">
        <v>1745</v>
      </c>
      <c r="J308" t="s">
        <v>1076</v>
      </c>
      <c r="K308">
        <v>48</v>
      </c>
      <c r="L308" t="s">
        <v>1419</v>
      </c>
    </row>
    <row r="309" spans="1:12">
      <c r="A309" t="s">
        <v>163</v>
      </c>
      <c r="B309">
        <v>44</v>
      </c>
      <c r="C309" t="s">
        <v>479</v>
      </c>
      <c r="D309">
        <v>22</v>
      </c>
      <c r="E309" s="2" t="s">
        <v>1746</v>
      </c>
      <c r="J309" t="s">
        <v>163</v>
      </c>
      <c r="K309">
        <v>44</v>
      </c>
      <c r="L309" t="s">
        <v>1420</v>
      </c>
    </row>
    <row r="310" spans="1:12">
      <c r="A310" t="s">
        <v>106</v>
      </c>
      <c r="B310">
        <v>67</v>
      </c>
      <c r="C310" t="s">
        <v>479</v>
      </c>
      <c r="D310">
        <v>23</v>
      </c>
      <c r="E310" s="2" t="s">
        <v>1747</v>
      </c>
      <c r="J310" t="s">
        <v>106</v>
      </c>
      <c r="K310">
        <v>67</v>
      </c>
      <c r="L310" t="s">
        <v>1421</v>
      </c>
    </row>
    <row r="311" spans="1:12">
      <c r="A311" t="s">
        <v>247</v>
      </c>
      <c r="B311">
        <v>64</v>
      </c>
      <c r="C311" t="s">
        <v>479</v>
      </c>
      <c r="D311">
        <v>23</v>
      </c>
      <c r="E311" s="2" t="s">
        <v>1748</v>
      </c>
      <c r="J311" t="s">
        <v>247</v>
      </c>
      <c r="K311">
        <v>64</v>
      </c>
      <c r="L311" t="s">
        <v>1422</v>
      </c>
    </row>
    <row r="312" spans="1:12">
      <c r="A312" t="s">
        <v>287</v>
      </c>
      <c r="B312">
        <v>55</v>
      </c>
      <c r="C312" t="s">
        <v>479</v>
      </c>
      <c r="D312">
        <v>23</v>
      </c>
      <c r="E312" s="2" t="s">
        <v>1749</v>
      </c>
      <c r="J312" t="s">
        <v>287</v>
      </c>
      <c r="K312">
        <v>55</v>
      </c>
      <c r="L312" t="s">
        <v>1423</v>
      </c>
    </row>
    <row r="313" spans="1:12">
      <c r="A313" t="s">
        <v>869</v>
      </c>
      <c r="B313">
        <v>54</v>
      </c>
      <c r="C313" t="s">
        <v>1118</v>
      </c>
      <c r="D313">
        <v>23</v>
      </c>
      <c r="E313" s="2" t="s">
        <v>1750</v>
      </c>
      <c r="J313" t="s">
        <v>869</v>
      </c>
      <c r="K313">
        <v>54</v>
      </c>
      <c r="L313" t="s">
        <v>1424</v>
      </c>
    </row>
    <row r="314" spans="1:12">
      <c r="A314" t="s">
        <v>1026</v>
      </c>
      <c r="B314">
        <v>38</v>
      </c>
      <c r="C314" t="s">
        <v>1129</v>
      </c>
      <c r="D314">
        <v>23</v>
      </c>
      <c r="E314" s="2" t="s">
        <v>1751</v>
      </c>
      <c r="J314" t="s">
        <v>1026</v>
      </c>
      <c r="K314">
        <v>38</v>
      </c>
      <c r="L314" t="s">
        <v>1425</v>
      </c>
    </row>
    <row r="315" spans="1:12">
      <c r="A315" t="s">
        <v>1029</v>
      </c>
      <c r="B315">
        <v>29</v>
      </c>
      <c r="C315" t="s">
        <v>1129</v>
      </c>
      <c r="D315">
        <v>23</v>
      </c>
      <c r="E315" s="2" t="s">
        <v>1480</v>
      </c>
      <c r="J315" t="s">
        <v>1029</v>
      </c>
      <c r="K315">
        <v>29</v>
      </c>
      <c r="L315" t="s">
        <v>1426</v>
      </c>
    </row>
    <row r="316" spans="1:12">
      <c r="A316" t="s">
        <v>30</v>
      </c>
      <c r="B316">
        <v>18</v>
      </c>
      <c r="C316" t="s">
        <v>491</v>
      </c>
      <c r="D316">
        <v>23</v>
      </c>
      <c r="E316" s="2" t="s">
        <v>1752</v>
      </c>
      <c r="J316" t="s">
        <v>491</v>
      </c>
      <c r="K316">
        <v>18</v>
      </c>
      <c r="L316" t="s">
        <v>1427</v>
      </c>
    </row>
    <row r="317" spans="1:12">
      <c r="A317" t="s">
        <v>881</v>
      </c>
      <c r="B317">
        <v>49</v>
      </c>
      <c r="C317" t="s">
        <v>1118</v>
      </c>
      <c r="D317">
        <v>23</v>
      </c>
      <c r="E317" s="2" t="s">
        <v>1753</v>
      </c>
      <c r="J317" t="s">
        <v>1118</v>
      </c>
      <c r="K317">
        <v>49</v>
      </c>
      <c r="L317" t="s">
        <v>1428</v>
      </c>
    </row>
    <row r="318" spans="1:12">
      <c r="A318" t="s">
        <v>375</v>
      </c>
      <c r="B318">
        <v>74</v>
      </c>
      <c r="C318" t="s">
        <v>497</v>
      </c>
      <c r="D318">
        <v>23</v>
      </c>
      <c r="E318" s="2" t="s">
        <v>1754</v>
      </c>
      <c r="J318" t="s">
        <v>497</v>
      </c>
      <c r="K318">
        <v>74</v>
      </c>
      <c r="L318" t="s">
        <v>1429</v>
      </c>
    </row>
    <row r="319" spans="1:12">
      <c r="A319" t="s">
        <v>701</v>
      </c>
      <c r="B319">
        <v>27</v>
      </c>
      <c r="C319" t="s">
        <v>1118</v>
      </c>
      <c r="D319">
        <v>23</v>
      </c>
      <c r="E319" s="2" t="s">
        <v>1755</v>
      </c>
      <c r="J319" t="s">
        <v>1118</v>
      </c>
      <c r="K319">
        <v>27</v>
      </c>
      <c r="L319" t="s">
        <v>1430</v>
      </c>
    </row>
    <row r="320" spans="1:12">
      <c r="A320" t="s">
        <v>1038</v>
      </c>
      <c r="B320">
        <v>44</v>
      </c>
      <c r="C320" t="s">
        <v>1129</v>
      </c>
      <c r="D320">
        <v>23</v>
      </c>
      <c r="E320" s="2" t="s">
        <v>1756</v>
      </c>
      <c r="J320" t="s">
        <v>1129</v>
      </c>
      <c r="K320">
        <v>44</v>
      </c>
      <c r="L320" t="s">
        <v>1431</v>
      </c>
    </row>
    <row r="321" spans="1:12">
      <c r="A321" t="s">
        <v>81</v>
      </c>
      <c r="B321">
        <v>41</v>
      </c>
      <c r="C321" t="s">
        <v>485</v>
      </c>
      <c r="D321">
        <v>23</v>
      </c>
      <c r="E321" s="2" t="s">
        <v>1757</v>
      </c>
      <c r="J321" t="s">
        <v>485</v>
      </c>
      <c r="K321">
        <v>41</v>
      </c>
      <c r="L321" t="s">
        <v>1432</v>
      </c>
    </row>
    <row r="322" spans="1:12">
      <c r="A322" t="s">
        <v>299</v>
      </c>
      <c r="B322">
        <v>63</v>
      </c>
      <c r="C322" t="s">
        <v>479</v>
      </c>
      <c r="D322">
        <v>23</v>
      </c>
      <c r="E322" s="2" t="s">
        <v>1758</v>
      </c>
      <c r="J322" t="s">
        <v>479</v>
      </c>
      <c r="K322">
        <v>63</v>
      </c>
      <c r="L322" t="s">
        <v>1433</v>
      </c>
    </row>
    <row r="323" spans="1:12">
      <c r="E323" s="2" t="s">
        <v>1759</v>
      </c>
      <c r="F323" t="s">
        <v>1450</v>
      </c>
    </row>
  </sheetData>
  <phoneticPr fontId="12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08"/>
  <sheetViews>
    <sheetView tabSelected="1" topLeftCell="A243" workbookViewId="0">
      <selection activeCell="J262" sqref="J262"/>
    </sheetView>
  </sheetViews>
  <sheetFormatPr defaultColWidth="8.875" defaultRowHeight="14.25"/>
  <cols>
    <col min="1" max="1" width="10.125" customWidth="1"/>
    <col min="5" max="5" width="8.875" style="2"/>
    <col min="14" max="14" width="8.875" style="2"/>
  </cols>
  <sheetData>
    <row r="1" spans="1:15">
      <c r="A1" t="s">
        <v>5</v>
      </c>
      <c r="B1" t="s">
        <v>1116</v>
      </c>
      <c r="C1" t="s">
        <v>6</v>
      </c>
      <c r="D1" t="s">
        <v>1434</v>
      </c>
      <c r="E1" s="2" t="s">
        <v>1117</v>
      </c>
      <c r="J1" t="s">
        <v>1775</v>
      </c>
      <c r="K1" t="s">
        <v>1116</v>
      </c>
      <c r="L1" t="s">
        <v>1117</v>
      </c>
      <c r="O1" t="s">
        <v>1760</v>
      </c>
    </row>
    <row r="2" spans="1:15">
      <c r="A2" t="s">
        <v>909</v>
      </c>
      <c r="B2">
        <v>43</v>
      </c>
      <c r="C2" t="s">
        <v>1129</v>
      </c>
      <c r="D2">
        <v>2</v>
      </c>
      <c r="E2" s="2" t="s">
        <v>1452</v>
      </c>
      <c r="J2" t="s">
        <v>909</v>
      </c>
      <c r="K2">
        <v>43</v>
      </c>
      <c r="L2" t="s">
        <v>1134</v>
      </c>
    </row>
    <row r="3" spans="1:15">
      <c r="A3" t="s">
        <v>936</v>
      </c>
      <c r="B3">
        <v>23</v>
      </c>
      <c r="C3" t="s">
        <v>1129</v>
      </c>
      <c r="D3">
        <v>15</v>
      </c>
      <c r="E3" s="2" t="s">
        <v>1638</v>
      </c>
      <c r="J3" t="s">
        <v>936</v>
      </c>
      <c r="K3">
        <v>23</v>
      </c>
      <c r="L3" t="s">
        <v>1315</v>
      </c>
    </row>
    <row r="4" spans="1:15">
      <c r="A4" t="s">
        <v>939</v>
      </c>
      <c r="B4">
        <v>25</v>
      </c>
      <c r="C4" t="s">
        <v>1129</v>
      </c>
      <c r="D4">
        <v>7</v>
      </c>
      <c r="E4" s="2" t="s">
        <v>1532</v>
      </c>
      <c r="J4" t="s">
        <v>939</v>
      </c>
      <c r="K4">
        <v>25</v>
      </c>
      <c r="L4" t="s">
        <v>1211</v>
      </c>
    </row>
    <row r="5" spans="1:15">
      <c r="A5" t="s">
        <v>942</v>
      </c>
      <c r="B5">
        <v>31</v>
      </c>
      <c r="C5" t="s">
        <v>1129</v>
      </c>
      <c r="D5">
        <v>13</v>
      </c>
      <c r="E5" s="2" t="s">
        <v>1610</v>
      </c>
      <c r="J5" t="s">
        <v>942</v>
      </c>
      <c r="K5">
        <v>31</v>
      </c>
      <c r="L5" t="s">
        <v>1287</v>
      </c>
    </row>
    <row r="6" spans="1:15">
      <c r="A6" t="s">
        <v>945</v>
      </c>
      <c r="B6">
        <v>51</v>
      </c>
      <c r="C6" t="s">
        <v>1129</v>
      </c>
      <c r="D6">
        <v>20</v>
      </c>
      <c r="E6" s="2" t="s">
        <v>1717</v>
      </c>
      <c r="J6" t="s">
        <v>945</v>
      </c>
      <c r="K6">
        <v>51</v>
      </c>
      <c r="L6" t="s">
        <v>1392</v>
      </c>
    </row>
    <row r="7" spans="1:15">
      <c r="A7" t="s">
        <v>948</v>
      </c>
      <c r="B7">
        <v>33</v>
      </c>
      <c r="C7" t="s">
        <v>1129</v>
      </c>
      <c r="D7">
        <v>2</v>
      </c>
      <c r="E7" s="2" t="s">
        <v>1454</v>
      </c>
      <c r="J7" t="s">
        <v>948</v>
      </c>
      <c r="K7">
        <v>33</v>
      </c>
      <c r="L7" t="s">
        <v>1136</v>
      </c>
    </row>
    <row r="8" spans="1:15">
      <c r="A8" t="s">
        <v>951</v>
      </c>
      <c r="B8">
        <v>40</v>
      </c>
      <c r="C8" t="s">
        <v>1129</v>
      </c>
      <c r="D8">
        <v>18</v>
      </c>
      <c r="E8" s="2" t="s">
        <v>1687</v>
      </c>
      <c r="J8" t="s">
        <v>951</v>
      </c>
      <c r="K8">
        <v>40</v>
      </c>
      <c r="L8" t="s">
        <v>1363</v>
      </c>
    </row>
    <row r="9" spans="1:15">
      <c r="A9" t="s">
        <v>954</v>
      </c>
      <c r="B9">
        <v>49</v>
      </c>
      <c r="C9" t="s">
        <v>1129</v>
      </c>
      <c r="D9">
        <v>14</v>
      </c>
      <c r="E9" s="2" t="s">
        <v>1627</v>
      </c>
      <c r="J9" t="s">
        <v>954</v>
      </c>
      <c r="K9">
        <v>49</v>
      </c>
      <c r="L9" t="s">
        <v>1304</v>
      </c>
    </row>
    <row r="10" spans="1:15">
      <c r="A10" t="s">
        <v>957</v>
      </c>
      <c r="B10">
        <v>45</v>
      </c>
      <c r="C10" t="s">
        <v>1129</v>
      </c>
      <c r="D10">
        <v>20</v>
      </c>
      <c r="E10" s="2" t="s">
        <v>1713</v>
      </c>
      <c r="J10" t="s">
        <v>957</v>
      </c>
      <c r="K10">
        <v>45</v>
      </c>
      <c r="L10" t="s">
        <v>1388</v>
      </c>
    </row>
    <row r="11" spans="1:15">
      <c r="A11" t="s">
        <v>960</v>
      </c>
      <c r="B11">
        <v>28</v>
      </c>
      <c r="C11" t="s">
        <v>1129</v>
      </c>
      <c r="D11">
        <v>18</v>
      </c>
      <c r="E11" s="2" t="s">
        <v>1680</v>
      </c>
      <c r="J11" t="s">
        <v>960</v>
      </c>
      <c r="K11">
        <v>28</v>
      </c>
      <c r="L11" t="s">
        <v>1356</v>
      </c>
    </row>
    <row r="12" spans="1:15">
      <c r="A12" t="s">
        <v>963</v>
      </c>
      <c r="B12">
        <v>28</v>
      </c>
      <c r="C12" t="s">
        <v>1129</v>
      </c>
      <c r="D12">
        <v>5</v>
      </c>
      <c r="E12" s="2" t="s">
        <v>1503</v>
      </c>
      <c r="J12" t="s">
        <v>963</v>
      </c>
      <c r="K12">
        <v>28</v>
      </c>
      <c r="L12" t="s">
        <v>1182</v>
      </c>
    </row>
    <row r="13" spans="1:15">
      <c r="A13" t="s">
        <v>912</v>
      </c>
      <c r="B13">
        <v>27</v>
      </c>
      <c r="C13" t="s">
        <v>1129</v>
      </c>
      <c r="D13">
        <v>14</v>
      </c>
      <c r="E13" s="2" t="s">
        <v>1622</v>
      </c>
      <c r="J13" t="s">
        <v>912</v>
      </c>
      <c r="K13">
        <v>27</v>
      </c>
      <c r="L13" t="s">
        <v>1299</v>
      </c>
    </row>
    <row r="14" spans="1:15">
      <c r="A14" t="s">
        <v>966</v>
      </c>
      <c r="B14">
        <v>41</v>
      </c>
      <c r="C14" t="s">
        <v>1129</v>
      </c>
      <c r="D14">
        <v>20</v>
      </c>
      <c r="E14" s="2" t="s">
        <v>1706</v>
      </c>
      <c r="J14" t="s">
        <v>966</v>
      </c>
      <c r="K14">
        <v>41</v>
      </c>
      <c r="L14" t="s">
        <v>1381</v>
      </c>
    </row>
    <row r="15" spans="1:15">
      <c r="A15" t="s">
        <v>969</v>
      </c>
      <c r="B15">
        <v>32</v>
      </c>
      <c r="C15" t="s">
        <v>1129</v>
      </c>
      <c r="D15">
        <v>19</v>
      </c>
      <c r="E15" s="2" t="s">
        <v>1703</v>
      </c>
      <c r="J15" t="s">
        <v>969</v>
      </c>
      <c r="K15">
        <v>32</v>
      </c>
      <c r="L15" t="s">
        <v>1378</v>
      </c>
    </row>
    <row r="16" spans="1:15">
      <c r="A16" t="s">
        <v>972</v>
      </c>
      <c r="B16">
        <v>29</v>
      </c>
      <c r="C16" t="s">
        <v>1129</v>
      </c>
      <c r="D16">
        <v>20</v>
      </c>
      <c r="E16" s="2" t="s">
        <v>1708</v>
      </c>
      <c r="J16" t="s">
        <v>972</v>
      </c>
      <c r="K16">
        <v>29</v>
      </c>
      <c r="L16" t="s">
        <v>1383</v>
      </c>
    </row>
    <row r="17" spans="1:15">
      <c r="A17" t="s">
        <v>975</v>
      </c>
      <c r="B17">
        <v>22</v>
      </c>
      <c r="C17" t="s">
        <v>1129</v>
      </c>
      <c r="D17">
        <v>2</v>
      </c>
      <c r="E17" s="2" t="s">
        <v>1457</v>
      </c>
      <c r="J17" t="s">
        <v>975</v>
      </c>
      <c r="K17">
        <v>22</v>
      </c>
      <c r="L17" t="s">
        <v>1139</v>
      </c>
    </row>
    <row r="18" spans="1:15">
      <c r="A18" t="s">
        <v>978</v>
      </c>
      <c r="B18">
        <v>51</v>
      </c>
      <c r="C18" t="s">
        <v>1129</v>
      </c>
      <c r="D18">
        <v>21</v>
      </c>
      <c r="E18" s="2" t="s">
        <v>1721</v>
      </c>
      <c r="J18" t="s">
        <v>978</v>
      </c>
      <c r="K18">
        <v>51</v>
      </c>
      <c r="L18" t="s">
        <v>1396</v>
      </c>
    </row>
    <row r="19" spans="1:15">
      <c r="A19" s="3" t="s">
        <v>981</v>
      </c>
      <c r="B19" s="3">
        <v>32</v>
      </c>
      <c r="C19" s="3" t="s">
        <v>1129</v>
      </c>
      <c r="D19" s="3">
        <v>19</v>
      </c>
      <c r="E19" s="4" t="s">
        <v>1693</v>
      </c>
      <c r="F19" s="3"/>
      <c r="G19" s="3"/>
      <c r="H19" s="3"/>
      <c r="I19" s="3"/>
      <c r="J19" s="3" t="s">
        <v>981</v>
      </c>
      <c r="K19" s="3">
        <v>32</v>
      </c>
      <c r="L19" s="3" t="s">
        <v>1368</v>
      </c>
    </row>
    <row r="20" spans="1:15">
      <c r="A20" t="s">
        <v>984</v>
      </c>
      <c r="B20">
        <v>48</v>
      </c>
      <c r="C20" t="s">
        <v>1129</v>
      </c>
      <c r="D20">
        <v>11</v>
      </c>
      <c r="E20" s="2" t="s">
        <v>1589</v>
      </c>
      <c r="J20" t="s">
        <v>984</v>
      </c>
      <c r="K20">
        <v>48</v>
      </c>
      <c r="L20" t="s">
        <v>1266</v>
      </c>
    </row>
    <row r="21" spans="1:15">
      <c r="A21" t="s">
        <v>987</v>
      </c>
      <c r="B21">
        <v>23</v>
      </c>
      <c r="C21" t="s">
        <v>1129</v>
      </c>
      <c r="D21">
        <v>5</v>
      </c>
      <c r="E21" s="2" t="s">
        <v>1505</v>
      </c>
      <c r="J21" t="s">
        <v>987</v>
      </c>
      <c r="K21">
        <v>23</v>
      </c>
      <c r="L21" t="s">
        <v>1184</v>
      </c>
    </row>
    <row r="22" spans="1:15">
      <c r="A22" t="s">
        <v>990</v>
      </c>
      <c r="B22">
        <v>32</v>
      </c>
      <c r="C22" t="s">
        <v>1129</v>
      </c>
      <c r="D22">
        <v>22</v>
      </c>
      <c r="E22" s="2" t="s">
        <v>1743</v>
      </c>
      <c r="J22" t="s">
        <v>990</v>
      </c>
      <c r="K22">
        <v>32</v>
      </c>
      <c r="L22" t="s">
        <v>1417</v>
      </c>
    </row>
    <row r="23" spans="1:15">
      <c r="A23" t="s">
        <v>993</v>
      </c>
      <c r="B23">
        <v>81</v>
      </c>
      <c r="C23" t="s">
        <v>1129</v>
      </c>
      <c r="D23">
        <v>13</v>
      </c>
      <c r="E23" s="2" t="s">
        <v>1616</v>
      </c>
      <c r="J23" t="s">
        <v>993</v>
      </c>
      <c r="K23">
        <v>81</v>
      </c>
      <c r="L23" t="s">
        <v>1293</v>
      </c>
    </row>
    <row r="24" spans="1:15">
      <c r="A24" t="s">
        <v>915</v>
      </c>
      <c r="B24">
        <v>22</v>
      </c>
      <c r="C24" t="s">
        <v>1129</v>
      </c>
      <c r="D24">
        <v>9</v>
      </c>
      <c r="E24" s="2" t="s">
        <v>1553</v>
      </c>
      <c r="J24" t="s">
        <v>915</v>
      </c>
      <c r="K24">
        <v>22</v>
      </c>
      <c r="L24" t="s">
        <v>1230</v>
      </c>
    </row>
    <row r="25" spans="1:15">
      <c r="A25" t="s">
        <v>996</v>
      </c>
      <c r="B25">
        <v>32</v>
      </c>
      <c r="C25" t="s">
        <v>1129</v>
      </c>
      <c r="D25">
        <v>18</v>
      </c>
      <c r="E25" s="2" t="s">
        <v>1682</v>
      </c>
      <c r="J25" t="s">
        <v>996</v>
      </c>
      <c r="K25">
        <v>32</v>
      </c>
      <c r="L25" t="s">
        <v>1358</v>
      </c>
    </row>
    <row r="26" spans="1:15">
      <c r="A26" t="s">
        <v>999</v>
      </c>
      <c r="B26">
        <v>45</v>
      </c>
      <c r="C26" t="s">
        <v>1129</v>
      </c>
      <c r="D26">
        <v>12</v>
      </c>
      <c r="E26" s="2" t="s">
        <v>1606</v>
      </c>
      <c r="J26" t="s">
        <v>999</v>
      </c>
      <c r="K26">
        <v>45</v>
      </c>
      <c r="L26" t="s">
        <v>1283</v>
      </c>
    </row>
    <row r="27" spans="1:15">
      <c r="A27" t="s">
        <v>1002</v>
      </c>
      <c r="B27">
        <v>28</v>
      </c>
      <c r="C27" t="s">
        <v>1129</v>
      </c>
      <c r="D27">
        <v>16</v>
      </c>
      <c r="E27" s="2" t="s">
        <v>1658</v>
      </c>
      <c r="J27" t="s">
        <v>1002</v>
      </c>
      <c r="K27">
        <v>28</v>
      </c>
      <c r="L27" t="s">
        <v>1335</v>
      </c>
    </row>
    <row r="28" spans="1:15">
      <c r="A28" t="s">
        <v>1005</v>
      </c>
      <c r="B28">
        <v>51</v>
      </c>
      <c r="C28" t="s">
        <v>1129</v>
      </c>
      <c r="D28">
        <v>16</v>
      </c>
      <c r="E28" s="2" t="s">
        <v>1654</v>
      </c>
      <c r="J28" t="s">
        <v>1005</v>
      </c>
      <c r="K28">
        <v>51</v>
      </c>
      <c r="L28" t="s">
        <v>1331</v>
      </c>
    </row>
    <row r="29" spans="1:15">
      <c r="A29" s="1" t="s">
        <v>1005</v>
      </c>
      <c r="B29" s="1">
        <v>51</v>
      </c>
      <c r="C29" s="1" t="s">
        <v>1129</v>
      </c>
      <c r="D29" s="1">
        <v>16</v>
      </c>
      <c r="E29" s="5" t="s">
        <v>1662</v>
      </c>
      <c r="F29" s="1"/>
      <c r="G29" s="1"/>
      <c r="H29" s="1"/>
      <c r="I29" s="1"/>
      <c r="J29" s="1" t="s">
        <v>1005</v>
      </c>
      <c r="K29" s="1">
        <v>51</v>
      </c>
      <c r="L29" s="1" t="s">
        <v>1761</v>
      </c>
      <c r="M29" s="1" t="s">
        <v>1762</v>
      </c>
      <c r="O29">
        <v>1</v>
      </c>
    </row>
    <row r="30" spans="1:15">
      <c r="A30" t="s">
        <v>1008</v>
      </c>
      <c r="B30">
        <v>43</v>
      </c>
      <c r="C30" t="s">
        <v>1129</v>
      </c>
      <c r="D30">
        <v>9</v>
      </c>
      <c r="E30" s="2" t="s">
        <v>1555</v>
      </c>
      <c r="J30" t="s">
        <v>1008</v>
      </c>
      <c r="K30">
        <v>43</v>
      </c>
      <c r="L30" t="s">
        <v>1232</v>
      </c>
    </row>
    <row r="31" spans="1:15">
      <c r="A31" t="s">
        <v>1011</v>
      </c>
      <c r="B31">
        <v>57</v>
      </c>
      <c r="C31" t="s">
        <v>1129</v>
      </c>
      <c r="D31">
        <v>11</v>
      </c>
      <c r="E31" s="2" t="s">
        <v>1582</v>
      </c>
      <c r="J31" t="s">
        <v>1011</v>
      </c>
      <c r="K31">
        <v>57</v>
      </c>
      <c r="L31" t="s">
        <v>1259</v>
      </c>
    </row>
    <row r="32" spans="1:15">
      <c r="A32" s="6" t="s">
        <v>1014</v>
      </c>
      <c r="B32" s="6">
        <v>37</v>
      </c>
      <c r="C32" s="6" t="s">
        <v>1129</v>
      </c>
      <c r="D32" s="6">
        <v>11</v>
      </c>
      <c r="E32" s="7" t="s">
        <v>1581</v>
      </c>
      <c r="F32" s="6"/>
      <c r="G32" s="6"/>
      <c r="H32" s="6"/>
      <c r="I32" s="6"/>
      <c r="J32" s="6" t="s">
        <v>1014</v>
      </c>
      <c r="K32" s="6">
        <v>37</v>
      </c>
      <c r="L32" s="6" t="s">
        <v>1257</v>
      </c>
    </row>
    <row r="33" spans="1:12">
      <c r="A33" t="s">
        <v>1017</v>
      </c>
      <c r="B33">
        <v>45</v>
      </c>
      <c r="C33" t="s">
        <v>1129</v>
      </c>
      <c r="D33">
        <v>22</v>
      </c>
      <c r="E33" s="2" t="s">
        <v>1742</v>
      </c>
      <c r="J33" t="s">
        <v>1017</v>
      </c>
      <c r="K33">
        <v>45</v>
      </c>
      <c r="L33" t="s">
        <v>1416</v>
      </c>
    </row>
    <row r="34" spans="1:12">
      <c r="A34" t="s">
        <v>1020</v>
      </c>
      <c r="B34">
        <v>29</v>
      </c>
      <c r="C34" t="s">
        <v>1129</v>
      </c>
      <c r="D34">
        <v>17</v>
      </c>
      <c r="E34" s="2" t="s">
        <v>1672</v>
      </c>
      <c r="J34" t="s">
        <v>1020</v>
      </c>
      <c r="K34">
        <v>29</v>
      </c>
      <c r="L34" t="s">
        <v>1348</v>
      </c>
    </row>
    <row r="35" spans="1:12">
      <c r="A35" t="s">
        <v>1023</v>
      </c>
      <c r="B35">
        <v>30</v>
      </c>
      <c r="C35" t="s">
        <v>1129</v>
      </c>
      <c r="D35">
        <v>5</v>
      </c>
      <c r="E35" s="2" t="s">
        <v>1507</v>
      </c>
      <c r="J35" t="s">
        <v>1023</v>
      </c>
      <c r="K35">
        <v>30</v>
      </c>
      <c r="L35" t="s">
        <v>1186</v>
      </c>
    </row>
    <row r="36" spans="1:12">
      <c r="A36" t="s">
        <v>918</v>
      </c>
      <c r="B36">
        <v>42</v>
      </c>
      <c r="C36" t="s">
        <v>1129</v>
      </c>
      <c r="D36">
        <v>21</v>
      </c>
      <c r="E36" s="2" t="s">
        <v>1724</v>
      </c>
      <c r="J36" t="s">
        <v>918</v>
      </c>
      <c r="K36">
        <v>42</v>
      </c>
      <c r="L36" t="s">
        <v>1399</v>
      </c>
    </row>
    <row r="37" spans="1:12">
      <c r="A37" t="s">
        <v>1026</v>
      </c>
      <c r="B37">
        <v>38</v>
      </c>
      <c r="C37" t="s">
        <v>1129</v>
      </c>
      <c r="D37">
        <v>1</v>
      </c>
      <c r="E37" s="2" t="s">
        <v>1449</v>
      </c>
      <c r="J37" t="s">
        <v>1026</v>
      </c>
      <c r="K37">
        <v>38</v>
      </c>
      <c r="L37" t="s">
        <v>1763</v>
      </c>
    </row>
    <row r="38" spans="1:12">
      <c r="A38" t="s">
        <v>1029</v>
      </c>
      <c r="B38">
        <v>29</v>
      </c>
      <c r="C38" t="s">
        <v>1129</v>
      </c>
      <c r="D38">
        <v>3</v>
      </c>
      <c r="E38" s="2" t="s">
        <v>1479</v>
      </c>
      <c r="J38" t="s">
        <v>1029</v>
      </c>
      <c r="K38">
        <v>29</v>
      </c>
      <c r="L38" t="s">
        <v>1764</v>
      </c>
    </row>
    <row r="39" spans="1:12">
      <c r="A39" t="s">
        <v>1032</v>
      </c>
      <c r="B39">
        <v>40</v>
      </c>
      <c r="C39" t="s">
        <v>1129</v>
      </c>
      <c r="D39">
        <v>2</v>
      </c>
      <c r="E39" s="2" t="s">
        <v>1462</v>
      </c>
      <c r="J39" t="s">
        <v>1032</v>
      </c>
      <c r="K39">
        <v>40</v>
      </c>
      <c r="L39" t="s">
        <v>1144</v>
      </c>
    </row>
    <row r="40" spans="1:12">
      <c r="A40" t="s">
        <v>1035</v>
      </c>
      <c r="B40">
        <v>52</v>
      </c>
      <c r="C40" t="s">
        <v>1129</v>
      </c>
      <c r="D40">
        <v>8</v>
      </c>
      <c r="E40" s="2" t="s">
        <v>1541</v>
      </c>
      <c r="J40" t="s">
        <v>1035</v>
      </c>
      <c r="K40">
        <v>52</v>
      </c>
      <c r="L40" t="s">
        <v>1219</v>
      </c>
    </row>
    <row r="41" spans="1:12">
      <c r="A41" t="s">
        <v>1038</v>
      </c>
      <c r="B41">
        <v>44</v>
      </c>
      <c r="C41" t="s">
        <v>1129</v>
      </c>
      <c r="D41">
        <v>19</v>
      </c>
      <c r="E41" s="2" t="s">
        <v>1694</v>
      </c>
      <c r="J41" t="s">
        <v>1038</v>
      </c>
      <c r="K41">
        <v>44</v>
      </c>
      <c r="L41" t="s">
        <v>1369</v>
      </c>
    </row>
    <row r="42" spans="1:12">
      <c r="A42" t="s">
        <v>1041</v>
      </c>
      <c r="B42">
        <v>39</v>
      </c>
      <c r="C42" t="s">
        <v>1129</v>
      </c>
      <c r="D42">
        <v>5</v>
      </c>
      <c r="E42" s="2" t="s">
        <v>1495</v>
      </c>
      <c r="J42" t="s">
        <v>1041</v>
      </c>
      <c r="K42">
        <v>39</v>
      </c>
      <c r="L42" t="s">
        <v>1174</v>
      </c>
    </row>
    <row r="43" spans="1:12">
      <c r="A43" t="s">
        <v>1043</v>
      </c>
      <c r="B43">
        <v>39</v>
      </c>
      <c r="C43" t="s">
        <v>1129</v>
      </c>
      <c r="D43">
        <v>13</v>
      </c>
      <c r="E43" s="2" t="s">
        <v>1619</v>
      </c>
      <c r="J43" t="s">
        <v>1043</v>
      </c>
      <c r="K43">
        <v>39</v>
      </c>
      <c r="L43" t="s">
        <v>1296</v>
      </c>
    </row>
    <row r="44" spans="1:12">
      <c r="A44" t="s">
        <v>1046</v>
      </c>
      <c r="B44">
        <v>43</v>
      </c>
      <c r="C44" t="s">
        <v>1129</v>
      </c>
      <c r="D44">
        <v>17</v>
      </c>
      <c r="E44" s="2" t="s">
        <v>1665</v>
      </c>
      <c r="J44" t="s">
        <v>1046</v>
      </c>
      <c r="K44">
        <v>43</v>
      </c>
      <c r="L44" t="s">
        <v>1341</v>
      </c>
    </row>
    <row r="45" spans="1:12">
      <c r="A45" t="s">
        <v>1049</v>
      </c>
      <c r="B45">
        <v>25</v>
      </c>
      <c r="C45" t="s">
        <v>1129</v>
      </c>
      <c r="D45">
        <v>11</v>
      </c>
      <c r="E45" s="2" t="s">
        <v>1590</v>
      </c>
      <c r="J45" t="s">
        <v>1049</v>
      </c>
      <c r="K45">
        <v>25</v>
      </c>
      <c r="L45" t="s">
        <v>1267</v>
      </c>
    </row>
    <row r="46" spans="1:12">
      <c r="A46" t="s">
        <v>1052</v>
      </c>
      <c r="B46">
        <v>47</v>
      </c>
      <c r="C46" t="s">
        <v>1129</v>
      </c>
      <c r="D46">
        <v>15</v>
      </c>
      <c r="E46" s="2" t="s">
        <v>1643</v>
      </c>
      <c r="J46" t="s">
        <v>1052</v>
      </c>
      <c r="K46">
        <v>47</v>
      </c>
      <c r="L46" t="s">
        <v>1320</v>
      </c>
    </row>
    <row r="47" spans="1:12">
      <c r="A47" t="s">
        <v>921</v>
      </c>
      <c r="B47">
        <v>35</v>
      </c>
      <c r="C47" t="s">
        <v>1129</v>
      </c>
      <c r="D47">
        <v>19</v>
      </c>
      <c r="E47" s="2" t="s">
        <v>1704</v>
      </c>
      <c r="J47" t="s">
        <v>921</v>
      </c>
      <c r="K47">
        <v>35</v>
      </c>
      <c r="L47" t="s">
        <v>1379</v>
      </c>
    </row>
    <row r="48" spans="1:12">
      <c r="A48" t="s">
        <v>1055</v>
      </c>
      <c r="B48">
        <v>66</v>
      </c>
      <c r="C48" t="s">
        <v>1129</v>
      </c>
      <c r="D48">
        <v>3</v>
      </c>
      <c r="E48" s="2" t="s">
        <v>1466</v>
      </c>
      <c r="J48" t="s">
        <v>1055</v>
      </c>
      <c r="K48">
        <v>66</v>
      </c>
      <c r="L48" t="s">
        <v>1148</v>
      </c>
    </row>
    <row r="49" spans="1:12">
      <c r="A49" t="s">
        <v>1058</v>
      </c>
      <c r="B49">
        <v>38</v>
      </c>
      <c r="C49" t="s">
        <v>1129</v>
      </c>
      <c r="D49">
        <v>8</v>
      </c>
      <c r="E49" s="2" t="s">
        <v>1543</v>
      </c>
      <c r="J49" t="s">
        <v>1058</v>
      </c>
      <c r="K49">
        <v>38</v>
      </c>
      <c r="L49" t="s">
        <v>1221</v>
      </c>
    </row>
    <row r="50" spans="1:12">
      <c r="A50" t="s">
        <v>1061</v>
      </c>
      <c r="B50">
        <v>66</v>
      </c>
      <c r="C50" t="s">
        <v>1129</v>
      </c>
      <c r="D50">
        <v>14</v>
      </c>
      <c r="E50" s="2" t="s">
        <v>1628</v>
      </c>
      <c r="J50" t="s">
        <v>1061</v>
      </c>
      <c r="K50">
        <v>66</v>
      </c>
      <c r="L50" t="s">
        <v>1305</v>
      </c>
    </row>
    <row r="51" spans="1:12">
      <c r="A51" t="s">
        <v>1064</v>
      </c>
      <c r="B51">
        <v>29</v>
      </c>
      <c r="C51" t="s">
        <v>1129</v>
      </c>
      <c r="D51">
        <v>9</v>
      </c>
      <c r="E51" s="2" t="s">
        <v>1559</v>
      </c>
      <c r="J51" t="s">
        <v>1064</v>
      </c>
      <c r="K51">
        <v>29</v>
      </c>
      <c r="L51" t="s">
        <v>1236</v>
      </c>
    </row>
    <row r="52" spans="1:12">
      <c r="A52" t="s">
        <v>1067</v>
      </c>
      <c r="B52">
        <v>38</v>
      </c>
      <c r="C52" t="s">
        <v>1129</v>
      </c>
      <c r="D52">
        <v>20</v>
      </c>
      <c r="E52" s="2" t="s">
        <v>1711</v>
      </c>
      <c r="J52" t="s">
        <v>1067</v>
      </c>
      <c r="K52">
        <v>38</v>
      </c>
      <c r="L52" t="s">
        <v>1386</v>
      </c>
    </row>
    <row r="53" spans="1:12">
      <c r="A53" t="s">
        <v>1070</v>
      </c>
      <c r="B53">
        <v>47</v>
      </c>
      <c r="C53" t="s">
        <v>1129</v>
      </c>
      <c r="D53">
        <v>16</v>
      </c>
      <c r="E53" s="2" t="s">
        <v>1650</v>
      </c>
      <c r="J53" t="s">
        <v>1070</v>
      </c>
      <c r="K53">
        <v>47</v>
      </c>
      <c r="L53" t="s">
        <v>1327</v>
      </c>
    </row>
    <row r="54" spans="1:12">
      <c r="A54" t="s">
        <v>1073</v>
      </c>
      <c r="B54">
        <v>34</v>
      </c>
      <c r="C54" t="s">
        <v>1129</v>
      </c>
      <c r="D54">
        <v>21</v>
      </c>
      <c r="E54" s="2" t="s">
        <v>1719</v>
      </c>
      <c r="J54" t="s">
        <v>1073</v>
      </c>
      <c r="K54">
        <v>34</v>
      </c>
      <c r="L54" t="s">
        <v>1394</v>
      </c>
    </row>
    <row r="55" spans="1:12">
      <c r="A55" t="s">
        <v>1076</v>
      </c>
      <c r="B55">
        <v>48</v>
      </c>
      <c r="C55" t="s">
        <v>1129</v>
      </c>
      <c r="D55">
        <v>22</v>
      </c>
      <c r="E55" s="2" t="s">
        <v>1745</v>
      </c>
      <c r="J55" t="s">
        <v>1076</v>
      </c>
      <c r="K55">
        <v>48</v>
      </c>
      <c r="L55" t="s">
        <v>1419</v>
      </c>
    </row>
    <row r="56" spans="1:12">
      <c r="A56" t="s">
        <v>1079</v>
      </c>
      <c r="B56">
        <v>42</v>
      </c>
      <c r="C56" t="s">
        <v>1129</v>
      </c>
      <c r="D56">
        <v>10</v>
      </c>
      <c r="E56" s="2" t="s">
        <v>1569</v>
      </c>
      <c r="J56" t="s">
        <v>1079</v>
      </c>
      <c r="K56">
        <v>42</v>
      </c>
      <c r="L56" t="s">
        <v>1246</v>
      </c>
    </row>
    <row r="57" spans="1:12">
      <c r="A57" t="s">
        <v>1082</v>
      </c>
      <c r="B57">
        <v>57</v>
      </c>
      <c r="C57" t="s">
        <v>1129</v>
      </c>
      <c r="D57">
        <v>1</v>
      </c>
      <c r="E57" s="2" t="s">
        <v>1446</v>
      </c>
      <c r="J57" t="s">
        <v>1082</v>
      </c>
      <c r="K57">
        <v>57</v>
      </c>
      <c r="L57" t="s">
        <v>1130</v>
      </c>
    </row>
    <row r="58" spans="1:12">
      <c r="A58" t="s">
        <v>924</v>
      </c>
      <c r="B58">
        <v>34</v>
      </c>
      <c r="C58" t="s">
        <v>1129</v>
      </c>
      <c r="D58">
        <v>8</v>
      </c>
      <c r="E58" s="2" t="s">
        <v>1538</v>
      </c>
      <c r="J58" t="s">
        <v>924</v>
      </c>
      <c r="K58">
        <v>34</v>
      </c>
      <c r="L58" t="s">
        <v>1216</v>
      </c>
    </row>
    <row r="59" spans="1:12">
      <c r="A59" t="s">
        <v>1085</v>
      </c>
      <c r="B59">
        <v>39</v>
      </c>
      <c r="C59" t="s">
        <v>1129</v>
      </c>
      <c r="D59">
        <v>9</v>
      </c>
      <c r="E59" s="2" t="s">
        <v>1562</v>
      </c>
      <c r="J59" t="s">
        <v>1085</v>
      </c>
      <c r="K59">
        <v>39</v>
      </c>
      <c r="L59" t="s">
        <v>1239</v>
      </c>
    </row>
    <row r="60" spans="1:12">
      <c r="A60" t="s">
        <v>1088</v>
      </c>
      <c r="B60">
        <v>46</v>
      </c>
      <c r="C60" t="s">
        <v>1129</v>
      </c>
      <c r="D60">
        <v>7</v>
      </c>
      <c r="E60" s="2" t="s">
        <v>1530</v>
      </c>
      <c r="J60" t="s">
        <v>1088</v>
      </c>
      <c r="K60">
        <v>46</v>
      </c>
      <c r="L60" t="s">
        <v>1209</v>
      </c>
    </row>
    <row r="61" spans="1:12">
      <c r="A61" t="s">
        <v>1091</v>
      </c>
      <c r="B61">
        <v>29</v>
      </c>
      <c r="C61" t="s">
        <v>1129</v>
      </c>
      <c r="D61">
        <v>13</v>
      </c>
      <c r="E61" s="2" t="s">
        <v>1607</v>
      </c>
      <c r="J61" t="s">
        <v>1091</v>
      </c>
      <c r="K61">
        <v>29</v>
      </c>
      <c r="L61" t="s">
        <v>1284</v>
      </c>
    </row>
    <row r="62" spans="1:12">
      <c r="A62" t="s">
        <v>1094</v>
      </c>
      <c r="B62">
        <v>46</v>
      </c>
      <c r="C62" t="s">
        <v>1129</v>
      </c>
      <c r="D62">
        <v>1</v>
      </c>
      <c r="E62" s="2" t="s">
        <v>1448</v>
      </c>
      <c r="J62" t="s">
        <v>1094</v>
      </c>
      <c r="K62">
        <v>46</v>
      </c>
      <c r="L62" t="s">
        <v>1132</v>
      </c>
    </row>
    <row r="63" spans="1:12">
      <c r="A63" t="s">
        <v>1097</v>
      </c>
      <c r="B63">
        <v>27</v>
      </c>
      <c r="C63" t="s">
        <v>1129</v>
      </c>
      <c r="D63">
        <v>6</v>
      </c>
      <c r="E63" s="2" t="s">
        <v>1519</v>
      </c>
      <c r="J63" t="s">
        <v>1097</v>
      </c>
      <c r="K63">
        <v>27</v>
      </c>
      <c r="L63" t="s">
        <v>1198</v>
      </c>
    </row>
    <row r="64" spans="1:12">
      <c r="A64" t="s">
        <v>1100</v>
      </c>
      <c r="B64">
        <v>22</v>
      </c>
      <c r="C64" t="s">
        <v>1129</v>
      </c>
      <c r="D64">
        <v>8</v>
      </c>
      <c r="E64" s="2" t="s">
        <v>1544</v>
      </c>
      <c r="J64" t="s">
        <v>1100</v>
      </c>
      <c r="K64">
        <v>22</v>
      </c>
      <c r="L64" t="s">
        <v>1222</v>
      </c>
    </row>
    <row r="65" spans="1:12">
      <c r="A65" t="s">
        <v>1103</v>
      </c>
      <c r="B65">
        <v>45</v>
      </c>
      <c r="C65" t="s">
        <v>1129</v>
      </c>
      <c r="D65">
        <v>16</v>
      </c>
      <c r="E65" s="2" t="s">
        <v>1653</v>
      </c>
      <c r="J65" t="s">
        <v>1103</v>
      </c>
      <c r="K65">
        <v>45</v>
      </c>
      <c r="L65" t="s">
        <v>1330</v>
      </c>
    </row>
    <row r="66" spans="1:12">
      <c r="A66" t="s">
        <v>1106</v>
      </c>
      <c r="B66">
        <v>48</v>
      </c>
      <c r="C66" t="s">
        <v>1129</v>
      </c>
      <c r="D66">
        <v>19</v>
      </c>
      <c r="E66" s="2" t="s">
        <v>1701</v>
      </c>
      <c r="J66" t="s">
        <v>1106</v>
      </c>
      <c r="K66">
        <v>48</v>
      </c>
      <c r="L66" t="s">
        <v>1376</v>
      </c>
    </row>
    <row r="67" spans="1:12">
      <c r="A67" t="s">
        <v>1109</v>
      </c>
      <c r="B67">
        <v>45</v>
      </c>
      <c r="C67" t="s">
        <v>1129</v>
      </c>
      <c r="D67">
        <v>4</v>
      </c>
      <c r="E67" s="2" t="s">
        <v>1490</v>
      </c>
      <c r="J67" t="s">
        <v>1109</v>
      </c>
      <c r="K67">
        <v>45</v>
      </c>
      <c r="L67" t="s">
        <v>1169</v>
      </c>
    </row>
    <row r="68" spans="1:12">
      <c r="A68" t="s">
        <v>1112</v>
      </c>
      <c r="B68">
        <v>46</v>
      </c>
      <c r="C68" t="s">
        <v>1129</v>
      </c>
      <c r="D68">
        <v>2</v>
      </c>
      <c r="E68" s="2" t="s">
        <v>1458</v>
      </c>
      <c r="J68" t="s">
        <v>1112</v>
      </c>
      <c r="K68">
        <v>46</v>
      </c>
      <c r="L68" t="s">
        <v>1140</v>
      </c>
    </row>
    <row r="69" spans="1:12">
      <c r="A69" t="s">
        <v>927</v>
      </c>
      <c r="B69">
        <v>40</v>
      </c>
      <c r="C69" t="s">
        <v>1129</v>
      </c>
      <c r="D69">
        <v>15</v>
      </c>
      <c r="E69" s="2" t="s">
        <v>1639</v>
      </c>
      <c r="J69" t="s">
        <v>927</v>
      </c>
      <c r="K69">
        <v>40</v>
      </c>
      <c r="L69" t="s">
        <v>1316</v>
      </c>
    </row>
    <row r="70" spans="1:12">
      <c r="A70" t="s">
        <v>1115</v>
      </c>
      <c r="B70">
        <v>27</v>
      </c>
      <c r="C70" t="s">
        <v>1129</v>
      </c>
      <c r="D70">
        <v>21</v>
      </c>
      <c r="E70" s="2" t="s">
        <v>1730</v>
      </c>
      <c r="J70" t="s">
        <v>1115</v>
      </c>
      <c r="K70">
        <v>27</v>
      </c>
      <c r="L70" t="s">
        <v>1405</v>
      </c>
    </row>
    <row r="71" spans="1:12">
      <c r="A71" t="s">
        <v>930</v>
      </c>
      <c r="B71">
        <v>27</v>
      </c>
      <c r="C71" t="s">
        <v>1129</v>
      </c>
      <c r="D71">
        <v>13</v>
      </c>
      <c r="E71" s="2" t="s">
        <v>1617</v>
      </c>
      <c r="J71" t="s">
        <v>930</v>
      </c>
      <c r="K71">
        <v>27</v>
      </c>
      <c r="L71" t="s">
        <v>1294</v>
      </c>
    </row>
    <row r="72" spans="1:12">
      <c r="A72" t="s">
        <v>933</v>
      </c>
      <c r="B72">
        <v>29</v>
      </c>
      <c r="C72" t="s">
        <v>1129</v>
      </c>
      <c r="D72">
        <v>12</v>
      </c>
      <c r="E72" s="2" t="s">
        <v>1595</v>
      </c>
      <c r="J72" t="s">
        <v>933</v>
      </c>
      <c r="K72">
        <v>29</v>
      </c>
      <c r="L72" t="s">
        <v>1272</v>
      </c>
    </row>
    <row r="73" spans="1:12">
      <c r="A73" t="s">
        <v>505</v>
      </c>
      <c r="B73">
        <v>57</v>
      </c>
      <c r="C73" t="s">
        <v>1118</v>
      </c>
      <c r="D73">
        <v>2</v>
      </c>
      <c r="E73" s="2" t="s">
        <v>1453</v>
      </c>
      <c r="J73" t="s">
        <v>505</v>
      </c>
      <c r="K73">
        <v>57</v>
      </c>
      <c r="L73" t="s">
        <v>1135</v>
      </c>
    </row>
    <row r="74" spans="1:12">
      <c r="A74" t="s">
        <v>533</v>
      </c>
      <c r="B74">
        <v>40</v>
      </c>
      <c r="C74" t="s">
        <v>1118</v>
      </c>
      <c r="D74">
        <v>17</v>
      </c>
      <c r="E74" s="2" t="s">
        <v>1668</v>
      </c>
      <c r="J74" t="s">
        <v>533</v>
      </c>
      <c r="K74">
        <v>40</v>
      </c>
      <c r="L74" t="s">
        <v>1344</v>
      </c>
    </row>
    <row r="75" spans="1:12">
      <c r="A75" t="s">
        <v>805</v>
      </c>
      <c r="B75">
        <v>27</v>
      </c>
      <c r="C75" t="s">
        <v>1118</v>
      </c>
      <c r="D75">
        <v>2</v>
      </c>
      <c r="E75" s="2" t="s">
        <v>1455</v>
      </c>
      <c r="J75" t="s">
        <v>805</v>
      </c>
      <c r="K75">
        <v>27</v>
      </c>
      <c r="L75" t="s">
        <v>1137</v>
      </c>
    </row>
    <row r="76" spans="1:12">
      <c r="A76" t="s">
        <v>808</v>
      </c>
      <c r="B76">
        <v>23</v>
      </c>
      <c r="C76" t="s">
        <v>1118</v>
      </c>
      <c r="D76">
        <v>5</v>
      </c>
      <c r="E76" s="2" t="s">
        <v>1508</v>
      </c>
      <c r="J76" t="s">
        <v>808</v>
      </c>
      <c r="K76">
        <v>23</v>
      </c>
      <c r="L76" t="s">
        <v>1187</v>
      </c>
    </row>
    <row r="77" spans="1:12">
      <c r="A77" t="s">
        <v>811</v>
      </c>
      <c r="B77">
        <v>20</v>
      </c>
      <c r="C77" t="s">
        <v>1118</v>
      </c>
      <c r="D77">
        <v>10</v>
      </c>
      <c r="E77" s="2" t="s">
        <v>1578</v>
      </c>
      <c r="J77" t="s">
        <v>811</v>
      </c>
      <c r="K77">
        <v>20</v>
      </c>
      <c r="L77" t="s">
        <v>1255</v>
      </c>
    </row>
    <row r="78" spans="1:12">
      <c r="A78" t="s">
        <v>814</v>
      </c>
      <c r="B78">
        <v>32</v>
      </c>
      <c r="C78" t="s">
        <v>1118</v>
      </c>
      <c r="D78">
        <v>3</v>
      </c>
      <c r="E78" s="2" t="s">
        <v>1469</v>
      </c>
      <c r="J78" t="s">
        <v>814</v>
      </c>
      <c r="K78">
        <v>32</v>
      </c>
      <c r="L78" t="s">
        <v>1151</v>
      </c>
    </row>
    <row r="79" spans="1:12">
      <c r="A79" t="s">
        <v>817</v>
      </c>
      <c r="B79">
        <v>34</v>
      </c>
      <c r="C79" t="s">
        <v>1118</v>
      </c>
      <c r="D79">
        <v>2</v>
      </c>
      <c r="E79" s="2" t="s">
        <v>1463</v>
      </c>
      <c r="J79" t="s">
        <v>817</v>
      </c>
      <c r="K79">
        <v>34</v>
      </c>
      <c r="L79" t="s">
        <v>1145</v>
      </c>
    </row>
    <row r="80" spans="1:12">
      <c r="A80" t="s">
        <v>820</v>
      </c>
      <c r="B80">
        <v>21</v>
      </c>
      <c r="C80" t="s">
        <v>1118</v>
      </c>
      <c r="D80">
        <v>15</v>
      </c>
      <c r="E80" s="2" t="s">
        <v>1647</v>
      </c>
      <c r="J80" t="s">
        <v>820</v>
      </c>
      <c r="K80">
        <v>21</v>
      </c>
      <c r="L80" t="s">
        <v>1324</v>
      </c>
    </row>
    <row r="81" spans="1:12">
      <c r="A81" t="s">
        <v>823</v>
      </c>
      <c r="B81">
        <v>26</v>
      </c>
      <c r="C81" t="s">
        <v>1118</v>
      </c>
      <c r="D81">
        <v>1</v>
      </c>
      <c r="E81" s="2" t="s">
        <v>1441</v>
      </c>
      <c r="J81" t="s">
        <v>823</v>
      </c>
      <c r="K81">
        <v>26</v>
      </c>
      <c r="L81" t="s">
        <v>1124</v>
      </c>
    </row>
    <row r="82" spans="1:12">
      <c r="A82" t="s">
        <v>826</v>
      </c>
      <c r="B82">
        <v>21</v>
      </c>
      <c r="C82" t="s">
        <v>1118</v>
      </c>
      <c r="D82">
        <v>16</v>
      </c>
      <c r="E82" s="2" t="s">
        <v>1652</v>
      </c>
      <c r="J82" t="s">
        <v>826</v>
      </c>
      <c r="K82">
        <v>21</v>
      </c>
      <c r="L82" t="s">
        <v>1329</v>
      </c>
    </row>
    <row r="83" spans="1:12">
      <c r="A83" t="s">
        <v>829</v>
      </c>
      <c r="B83">
        <v>23</v>
      </c>
      <c r="C83" t="s">
        <v>1118</v>
      </c>
      <c r="D83">
        <v>5</v>
      </c>
      <c r="E83" s="2" t="s">
        <v>1496</v>
      </c>
      <c r="J83" t="s">
        <v>829</v>
      </c>
      <c r="K83">
        <v>23</v>
      </c>
      <c r="L83" t="s">
        <v>1175</v>
      </c>
    </row>
    <row r="84" spans="1:12">
      <c r="A84" t="s">
        <v>832</v>
      </c>
      <c r="B84">
        <v>24</v>
      </c>
      <c r="C84" t="s">
        <v>1118</v>
      </c>
      <c r="D84">
        <v>18</v>
      </c>
      <c r="E84" s="2" t="s">
        <v>1689</v>
      </c>
      <c r="J84" t="s">
        <v>832</v>
      </c>
      <c r="K84">
        <v>24</v>
      </c>
      <c r="L84" t="s">
        <v>1365</v>
      </c>
    </row>
    <row r="85" spans="1:12">
      <c r="A85" t="s">
        <v>536</v>
      </c>
      <c r="B85">
        <v>33</v>
      </c>
      <c r="C85" t="s">
        <v>1118</v>
      </c>
      <c r="D85">
        <v>3</v>
      </c>
      <c r="E85" s="2" t="s">
        <v>1473</v>
      </c>
      <c r="J85" t="s">
        <v>536</v>
      </c>
      <c r="K85">
        <v>33</v>
      </c>
      <c r="L85" t="s">
        <v>1154</v>
      </c>
    </row>
    <row r="86" spans="1:12">
      <c r="A86" t="s">
        <v>835</v>
      </c>
      <c r="B86">
        <v>24</v>
      </c>
      <c r="C86" t="s">
        <v>1118</v>
      </c>
      <c r="D86">
        <v>19</v>
      </c>
      <c r="E86" s="2" t="s">
        <v>1699</v>
      </c>
      <c r="J86" t="s">
        <v>835</v>
      </c>
      <c r="K86">
        <v>24</v>
      </c>
      <c r="L86" t="s">
        <v>1374</v>
      </c>
    </row>
    <row r="87" spans="1:12">
      <c r="A87" t="s">
        <v>838</v>
      </c>
      <c r="B87">
        <v>55</v>
      </c>
      <c r="C87" t="s">
        <v>1118</v>
      </c>
      <c r="D87">
        <v>21</v>
      </c>
      <c r="E87" s="2" t="s">
        <v>1722</v>
      </c>
      <c r="J87" t="s">
        <v>838</v>
      </c>
      <c r="K87">
        <v>55</v>
      </c>
      <c r="L87" t="s">
        <v>1397</v>
      </c>
    </row>
    <row r="88" spans="1:12">
      <c r="A88" t="s">
        <v>841</v>
      </c>
      <c r="B88">
        <v>26</v>
      </c>
      <c r="C88" t="s">
        <v>1118</v>
      </c>
      <c r="D88">
        <v>21</v>
      </c>
      <c r="E88" s="2" t="s">
        <v>1731</v>
      </c>
      <c r="J88" t="s">
        <v>841</v>
      </c>
      <c r="K88">
        <v>26</v>
      </c>
      <c r="L88" t="s">
        <v>1406</v>
      </c>
    </row>
    <row r="89" spans="1:12">
      <c r="A89" t="s">
        <v>844</v>
      </c>
      <c r="B89">
        <v>29</v>
      </c>
      <c r="C89" t="s">
        <v>1118</v>
      </c>
      <c r="D89">
        <v>19</v>
      </c>
      <c r="E89" s="2" t="s">
        <v>1702</v>
      </c>
      <c r="J89" t="s">
        <v>844</v>
      </c>
      <c r="K89">
        <v>29</v>
      </c>
      <c r="L89" t="s">
        <v>1377</v>
      </c>
    </row>
    <row r="90" spans="1:12">
      <c r="A90" t="s">
        <v>847</v>
      </c>
      <c r="B90">
        <v>27</v>
      </c>
      <c r="C90" t="s">
        <v>1118</v>
      </c>
      <c r="D90">
        <v>18</v>
      </c>
      <c r="E90" s="2" t="s">
        <v>1679</v>
      </c>
      <c r="J90" t="s">
        <v>847</v>
      </c>
      <c r="K90">
        <v>27</v>
      </c>
      <c r="L90" t="s">
        <v>1355</v>
      </c>
    </row>
    <row r="91" spans="1:12">
      <c r="A91" t="s">
        <v>850</v>
      </c>
      <c r="B91">
        <v>32</v>
      </c>
      <c r="C91" t="s">
        <v>1118</v>
      </c>
      <c r="D91">
        <v>9</v>
      </c>
      <c r="E91" s="2" t="s">
        <v>1551</v>
      </c>
      <c r="J91" t="s">
        <v>850</v>
      </c>
      <c r="K91">
        <v>32</v>
      </c>
      <c r="L91" t="s">
        <v>1228</v>
      </c>
    </row>
    <row r="92" spans="1:12">
      <c r="A92" t="s">
        <v>853</v>
      </c>
      <c r="B92">
        <v>22</v>
      </c>
      <c r="C92" t="s">
        <v>1118</v>
      </c>
      <c r="D92">
        <v>10</v>
      </c>
      <c r="E92" s="2" t="s">
        <v>1576</v>
      </c>
      <c r="J92" t="s">
        <v>853</v>
      </c>
      <c r="K92">
        <v>22</v>
      </c>
      <c r="L92" t="s">
        <v>1253</v>
      </c>
    </row>
    <row r="93" spans="1:12">
      <c r="A93" t="s">
        <v>856</v>
      </c>
      <c r="B93">
        <v>24</v>
      </c>
      <c r="C93" t="s">
        <v>1118</v>
      </c>
      <c r="D93">
        <v>1</v>
      </c>
      <c r="E93" s="2" t="s">
        <v>1435</v>
      </c>
      <c r="J93" t="s">
        <v>856</v>
      </c>
      <c r="K93">
        <v>24</v>
      </c>
      <c r="L93" t="s">
        <v>1119</v>
      </c>
    </row>
    <row r="94" spans="1:12">
      <c r="A94" s="3" t="s">
        <v>859</v>
      </c>
      <c r="B94" s="3">
        <v>23</v>
      </c>
      <c r="C94" s="3" t="s">
        <v>1118</v>
      </c>
      <c r="D94" s="3">
        <v>21</v>
      </c>
      <c r="E94" s="4" t="s">
        <v>1723</v>
      </c>
      <c r="F94" s="3"/>
      <c r="G94" s="3"/>
      <c r="H94" s="3"/>
      <c r="I94" s="3"/>
      <c r="J94" s="3" t="s">
        <v>859</v>
      </c>
      <c r="K94" s="3">
        <v>23</v>
      </c>
      <c r="L94" s="3" t="s">
        <v>1398</v>
      </c>
    </row>
    <row r="95" spans="1:12">
      <c r="A95" t="s">
        <v>863</v>
      </c>
      <c r="B95">
        <v>23</v>
      </c>
      <c r="C95" t="s">
        <v>1118</v>
      </c>
      <c r="D95">
        <v>11</v>
      </c>
      <c r="E95" s="2" t="s">
        <v>1579</v>
      </c>
      <c r="J95" t="s">
        <v>863</v>
      </c>
      <c r="K95">
        <v>23</v>
      </c>
      <c r="L95" t="s">
        <v>1256</v>
      </c>
    </row>
    <row r="96" spans="1:12">
      <c r="A96" t="s">
        <v>539</v>
      </c>
      <c r="B96">
        <v>40</v>
      </c>
      <c r="C96" t="s">
        <v>1118</v>
      </c>
      <c r="D96">
        <v>20</v>
      </c>
      <c r="E96" s="2" t="s">
        <v>1707</v>
      </c>
      <c r="J96" t="s">
        <v>539</v>
      </c>
      <c r="K96">
        <v>40</v>
      </c>
      <c r="L96" t="s">
        <v>1382</v>
      </c>
    </row>
    <row r="97" spans="1:14">
      <c r="A97" t="s">
        <v>866</v>
      </c>
      <c r="B97">
        <v>52</v>
      </c>
      <c r="C97" t="s">
        <v>1118</v>
      </c>
      <c r="D97">
        <v>16</v>
      </c>
      <c r="E97" s="2" t="s">
        <v>1656</v>
      </c>
      <c r="J97" t="s">
        <v>866</v>
      </c>
      <c r="K97">
        <v>52</v>
      </c>
      <c r="L97" t="s">
        <v>1333</v>
      </c>
    </row>
    <row r="98" spans="1:14">
      <c r="A98" t="s">
        <v>869</v>
      </c>
      <c r="B98">
        <v>54</v>
      </c>
      <c r="C98" t="s">
        <v>1118</v>
      </c>
      <c r="D98">
        <v>21</v>
      </c>
      <c r="E98" s="2" t="s">
        <v>1732</v>
      </c>
      <c r="J98" t="s">
        <v>869</v>
      </c>
      <c r="K98">
        <v>54</v>
      </c>
      <c r="L98" t="s">
        <v>1765</v>
      </c>
    </row>
    <row r="99" spans="1:14" s="1" customFormat="1">
      <c r="A99" t="s">
        <v>872</v>
      </c>
      <c r="B99">
        <v>30</v>
      </c>
      <c r="C99" t="s">
        <v>1118</v>
      </c>
      <c r="D99">
        <v>2</v>
      </c>
      <c r="E99" s="2" t="s">
        <v>1451</v>
      </c>
      <c r="F99"/>
      <c r="G99"/>
      <c r="H99"/>
      <c r="I99"/>
      <c r="J99" t="s">
        <v>872</v>
      </c>
      <c r="K99">
        <v>30</v>
      </c>
      <c r="L99" t="s">
        <v>1133</v>
      </c>
      <c r="M99"/>
      <c r="N99" s="5"/>
    </row>
    <row r="100" spans="1:14">
      <c r="A100" t="s">
        <v>875</v>
      </c>
      <c r="B100">
        <v>56</v>
      </c>
      <c r="C100" t="s">
        <v>1118</v>
      </c>
      <c r="D100">
        <v>7</v>
      </c>
      <c r="E100" s="2" t="s">
        <v>1534</v>
      </c>
      <c r="J100" t="s">
        <v>875</v>
      </c>
      <c r="K100">
        <v>56</v>
      </c>
      <c r="L100" t="s">
        <v>1213</v>
      </c>
    </row>
    <row r="101" spans="1:14">
      <c r="A101" t="s">
        <v>878</v>
      </c>
      <c r="B101">
        <v>53</v>
      </c>
      <c r="C101" t="s">
        <v>1118</v>
      </c>
      <c r="D101">
        <v>20</v>
      </c>
      <c r="E101" s="2" t="s">
        <v>1710</v>
      </c>
      <c r="J101" t="s">
        <v>878</v>
      </c>
      <c r="K101">
        <v>53</v>
      </c>
      <c r="L101" t="s">
        <v>1385</v>
      </c>
    </row>
    <row r="102" spans="1:14">
      <c r="A102" t="s">
        <v>881</v>
      </c>
      <c r="B102">
        <v>49</v>
      </c>
      <c r="C102" t="s">
        <v>1118</v>
      </c>
      <c r="D102">
        <v>22</v>
      </c>
      <c r="E102" s="2" t="s">
        <v>1735</v>
      </c>
      <c r="J102" t="s">
        <v>881</v>
      </c>
      <c r="K102">
        <v>49</v>
      </c>
      <c r="L102" t="s">
        <v>1409</v>
      </c>
    </row>
    <row r="103" spans="1:14">
      <c r="A103" t="s">
        <v>884</v>
      </c>
      <c r="B103">
        <v>48</v>
      </c>
      <c r="C103" t="s">
        <v>1118</v>
      </c>
      <c r="D103">
        <v>21</v>
      </c>
      <c r="E103" s="2" t="s">
        <v>1727</v>
      </c>
      <c r="J103" t="s">
        <v>884</v>
      </c>
      <c r="K103">
        <v>48</v>
      </c>
      <c r="L103" t="s">
        <v>1402</v>
      </c>
    </row>
    <row r="104" spans="1:14">
      <c r="A104" t="s">
        <v>887</v>
      </c>
      <c r="B104">
        <v>47</v>
      </c>
      <c r="C104" t="s">
        <v>1118</v>
      </c>
      <c r="D104">
        <v>22</v>
      </c>
      <c r="E104" s="2" t="s">
        <v>1744</v>
      </c>
      <c r="J104" t="s">
        <v>887</v>
      </c>
      <c r="K104">
        <v>47</v>
      </c>
      <c r="L104" t="s">
        <v>1418</v>
      </c>
    </row>
    <row r="105" spans="1:14">
      <c r="A105" t="s">
        <v>890</v>
      </c>
      <c r="B105">
        <v>60</v>
      </c>
      <c r="C105" t="s">
        <v>1118</v>
      </c>
      <c r="D105">
        <v>10</v>
      </c>
      <c r="E105" s="2" t="s">
        <v>1570</v>
      </c>
      <c r="J105" t="s">
        <v>890</v>
      </c>
      <c r="K105">
        <v>60</v>
      </c>
      <c r="L105" t="s">
        <v>1247</v>
      </c>
    </row>
    <row r="106" spans="1:14">
      <c r="A106" t="s">
        <v>893</v>
      </c>
      <c r="B106">
        <v>59</v>
      </c>
      <c r="C106" t="s">
        <v>1118</v>
      </c>
      <c r="D106">
        <v>17</v>
      </c>
      <c r="E106" s="2" t="s">
        <v>1671</v>
      </c>
      <c r="J106" t="s">
        <v>893</v>
      </c>
      <c r="K106">
        <v>59</v>
      </c>
      <c r="L106" t="s">
        <v>1347</v>
      </c>
    </row>
    <row r="107" spans="1:14">
      <c r="A107" t="s">
        <v>542</v>
      </c>
      <c r="B107">
        <v>27</v>
      </c>
      <c r="C107" t="s">
        <v>1118</v>
      </c>
      <c r="D107">
        <v>3</v>
      </c>
      <c r="E107" s="2" t="s">
        <v>1470</v>
      </c>
      <c r="J107" t="s">
        <v>542</v>
      </c>
      <c r="K107">
        <v>27</v>
      </c>
      <c r="L107" t="s">
        <v>1152</v>
      </c>
    </row>
    <row r="108" spans="1:14">
      <c r="A108" t="s">
        <v>896</v>
      </c>
      <c r="B108">
        <v>36</v>
      </c>
      <c r="C108" t="s">
        <v>1118</v>
      </c>
      <c r="D108">
        <v>7</v>
      </c>
      <c r="E108" s="2" t="s">
        <v>1527</v>
      </c>
      <c r="J108" t="s">
        <v>896</v>
      </c>
      <c r="K108">
        <v>36</v>
      </c>
      <c r="L108" t="s">
        <v>1206</v>
      </c>
    </row>
    <row r="109" spans="1:14">
      <c r="A109" t="s">
        <v>545</v>
      </c>
      <c r="B109">
        <v>25</v>
      </c>
      <c r="C109" t="s">
        <v>1118</v>
      </c>
      <c r="D109">
        <v>9</v>
      </c>
      <c r="E109" s="2" t="s">
        <v>1564</v>
      </c>
      <c r="J109" t="s">
        <v>545</v>
      </c>
      <c r="K109">
        <v>25</v>
      </c>
      <c r="L109" t="s">
        <v>1241</v>
      </c>
    </row>
    <row r="110" spans="1:14">
      <c r="A110" t="s">
        <v>548</v>
      </c>
      <c r="B110">
        <v>26</v>
      </c>
      <c r="C110" t="s">
        <v>1118</v>
      </c>
      <c r="D110">
        <v>14</v>
      </c>
      <c r="E110" s="2" t="s">
        <v>1632</v>
      </c>
      <c r="J110" t="s">
        <v>548</v>
      </c>
      <c r="K110">
        <v>26</v>
      </c>
      <c r="L110" t="s">
        <v>1309</v>
      </c>
    </row>
    <row r="111" spans="1:14">
      <c r="A111" t="s">
        <v>551</v>
      </c>
      <c r="B111">
        <v>38</v>
      </c>
      <c r="C111" t="s">
        <v>1118</v>
      </c>
      <c r="D111">
        <v>15</v>
      </c>
      <c r="E111" s="2" t="s">
        <v>1641</v>
      </c>
      <c r="J111" t="s">
        <v>551</v>
      </c>
      <c r="K111">
        <v>38</v>
      </c>
      <c r="L111" t="s">
        <v>1318</v>
      </c>
    </row>
    <row r="112" spans="1:14">
      <c r="A112" t="s">
        <v>554</v>
      </c>
      <c r="B112">
        <v>35</v>
      </c>
      <c r="C112" t="s">
        <v>1118</v>
      </c>
      <c r="D112">
        <v>22</v>
      </c>
      <c r="E112" s="2" t="s">
        <v>1734</v>
      </c>
      <c r="J112" t="s">
        <v>554</v>
      </c>
      <c r="K112">
        <v>35</v>
      </c>
      <c r="L112" t="s">
        <v>1408</v>
      </c>
    </row>
    <row r="113" spans="1:14" s="1" customFormat="1">
      <c r="A113" t="s">
        <v>557</v>
      </c>
      <c r="B113">
        <v>44</v>
      </c>
      <c r="C113" t="s">
        <v>1118</v>
      </c>
      <c r="D113">
        <v>4</v>
      </c>
      <c r="E113" s="2" t="s">
        <v>1481</v>
      </c>
      <c r="F113"/>
      <c r="G113"/>
      <c r="H113"/>
      <c r="I113"/>
      <c r="J113" t="s">
        <v>557</v>
      </c>
      <c r="K113">
        <v>44</v>
      </c>
      <c r="L113" t="s">
        <v>1160</v>
      </c>
      <c r="M113"/>
      <c r="N113" s="5"/>
    </row>
    <row r="114" spans="1:14">
      <c r="A114" t="s">
        <v>560</v>
      </c>
      <c r="B114">
        <v>32</v>
      </c>
      <c r="C114" t="s">
        <v>1118</v>
      </c>
      <c r="D114">
        <v>6</v>
      </c>
      <c r="E114" s="2" t="s">
        <v>1514</v>
      </c>
      <c r="J114" t="s">
        <v>560</v>
      </c>
      <c r="K114">
        <v>32</v>
      </c>
      <c r="L114" t="s">
        <v>1193</v>
      </c>
    </row>
    <row r="115" spans="1:14">
      <c r="A115" t="s">
        <v>508</v>
      </c>
      <c r="B115">
        <v>39</v>
      </c>
      <c r="C115" t="s">
        <v>1118</v>
      </c>
      <c r="D115">
        <v>15</v>
      </c>
      <c r="E115" s="2" t="s">
        <v>1648</v>
      </c>
      <c r="J115" t="s">
        <v>508</v>
      </c>
      <c r="K115">
        <v>39</v>
      </c>
      <c r="L115" t="s">
        <v>1325</v>
      </c>
    </row>
    <row r="116" spans="1:14">
      <c r="A116" t="s">
        <v>563</v>
      </c>
      <c r="B116">
        <v>27</v>
      </c>
      <c r="C116" t="s">
        <v>1118</v>
      </c>
      <c r="D116">
        <v>8</v>
      </c>
      <c r="E116" s="2" t="s">
        <v>1540</v>
      </c>
      <c r="J116" t="s">
        <v>563</v>
      </c>
      <c r="K116">
        <v>27</v>
      </c>
      <c r="L116" t="s">
        <v>1218</v>
      </c>
    </row>
    <row r="117" spans="1:14">
      <c r="A117" t="s">
        <v>566</v>
      </c>
      <c r="B117">
        <v>49</v>
      </c>
      <c r="C117" t="s">
        <v>1118</v>
      </c>
      <c r="D117">
        <v>6</v>
      </c>
      <c r="E117" s="2" t="s">
        <v>1513</v>
      </c>
      <c r="J117" t="s">
        <v>566</v>
      </c>
      <c r="K117">
        <v>49</v>
      </c>
      <c r="L117" t="s">
        <v>1192</v>
      </c>
    </row>
    <row r="118" spans="1:14">
      <c r="A118" t="s">
        <v>569</v>
      </c>
      <c r="B118">
        <v>23</v>
      </c>
      <c r="C118" t="s">
        <v>1118</v>
      </c>
      <c r="D118">
        <v>6</v>
      </c>
      <c r="E118" s="2" t="s">
        <v>1516</v>
      </c>
      <c r="J118" t="s">
        <v>569</v>
      </c>
      <c r="K118">
        <v>23</v>
      </c>
      <c r="L118" t="s">
        <v>1195</v>
      </c>
    </row>
    <row r="119" spans="1:14">
      <c r="A119" t="s">
        <v>572</v>
      </c>
      <c r="B119">
        <v>30</v>
      </c>
      <c r="C119" t="s">
        <v>1118</v>
      </c>
      <c r="D119">
        <v>19</v>
      </c>
      <c r="E119" s="2" t="s">
        <v>1691</v>
      </c>
      <c r="J119" t="s">
        <v>572</v>
      </c>
      <c r="K119">
        <v>30</v>
      </c>
      <c r="L119" t="s">
        <v>1366</v>
      </c>
    </row>
    <row r="120" spans="1:14">
      <c r="A120" t="s">
        <v>575</v>
      </c>
      <c r="B120">
        <v>50</v>
      </c>
      <c r="C120" t="s">
        <v>1118</v>
      </c>
      <c r="D120">
        <v>17</v>
      </c>
      <c r="E120" s="2" t="s">
        <v>1676</v>
      </c>
      <c r="J120" t="s">
        <v>575</v>
      </c>
      <c r="K120">
        <v>50</v>
      </c>
      <c r="L120" t="s">
        <v>1352</v>
      </c>
    </row>
    <row r="121" spans="1:14">
      <c r="A121" t="s">
        <v>578</v>
      </c>
      <c r="B121">
        <v>58</v>
      </c>
      <c r="C121" t="s">
        <v>1118</v>
      </c>
      <c r="D121">
        <v>12</v>
      </c>
      <c r="E121" s="2" t="s">
        <v>1597</v>
      </c>
      <c r="J121" t="s">
        <v>578</v>
      </c>
      <c r="K121">
        <v>58</v>
      </c>
      <c r="L121" t="s">
        <v>1274</v>
      </c>
    </row>
    <row r="122" spans="1:14">
      <c r="A122" t="s">
        <v>581</v>
      </c>
      <c r="B122">
        <v>42</v>
      </c>
      <c r="C122" t="s">
        <v>1118</v>
      </c>
      <c r="D122">
        <v>9</v>
      </c>
      <c r="E122" s="2" t="s">
        <v>1557</v>
      </c>
      <c r="J122" t="s">
        <v>581</v>
      </c>
      <c r="K122">
        <v>42</v>
      </c>
      <c r="L122" t="s">
        <v>1234</v>
      </c>
    </row>
    <row r="123" spans="1:14">
      <c r="A123" t="s">
        <v>584</v>
      </c>
      <c r="B123">
        <v>30</v>
      </c>
      <c r="C123" t="s">
        <v>1118</v>
      </c>
      <c r="D123">
        <v>10</v>
      </c>
      <c r="E123" s="2" t="s">
        <v>1573</v>
      </c>
      <c r="J123" t="s">
        <v>584</v>
      </c>
      <c r="K123">
        <v>30</v>
      </c>
      <c r="L123" t="s">
        <v>1250</v>
      </c>
    </row>
    <row r="124" spans="1:14">
      <c r="A124" t="s">
        <v>586</v>
      </c>
      <c r="B124">
        <v>45</v>
      </c>
      <c r="C124" t="s">
        <v>1118</v>
      </c>
      <c r="D124">
        <v>1</v>
      </c>
      <c r="E124" s="2" t="s">
        <v>1444</v>
      </c>
      <c r="J124" t="s">
        <v>586</v>
      </c>
      <c r="K124">
        <v>45</v>
      </c>
      <c r="L124" t="s">
        <v>1127</v>
      </c>
    </row>
    <row r="125" spans="1:14">
      <c r="A125" t="s">
        <v>589</v>
      </c>
      <c r="B125">
        <v>22</v>
      </c>
      <c r="C125" t="s">
        <v>1118</v>
      </c>
      <c r="D125">
        <v>11</v>
      </c>
      <c r="E125" s="2" t="s">
        <v>1584</v>
      </c>
      <c r="J125" t="s">
        <v>589</v>
      </c>
      <c r="K125">
        <v>22</v>
      </c>
      <c r="L125" t="s">
        <v>1261</v>
      </c>
    </row>
    <row r="126" spans="1:14">
      <c r="A126" t="s">
        <v>511</v>
      </c>
      <c r="B126">
        <v>35</v>
      </c>
      <c r="C126" t="s">
        <v>1118</v>
      </c>
      <c r="D126">
        <v>7</v>
      </c>
      <c r="E126" s="2" t="s">
        <v>1525</v>
      </c>
      <c r="J126" t="s">
        <v>511</v>
      </c>
      <c r="K126">
        <v>35</v>
      </c>
      <c r="L126" t="s">
        <v>1204</v>
      </c>
    </row>
    <row r="127" spans="1:14">
      <c r="A127" t="s">
        <v>592</v>
      </c>
      <c r="B127">
        <v>41</v>
      </c>
      <c r="C127" t="s">
        <v>1118</v>
      </c>
      <c r="D127">
        <v>10</v>
      </c>
      <c r="E127" s="2" t="s">
        <v>1568</v>
      </c>
      <c r="J127" t="s">
        <v>592</v>
      </c>
      <c r="K127">
        <v>41</v>
      </c>
      <c r="L127" t="s">
        <v>1245</v>
      </c>
    </row>
    <row r="128" spans="1:14">
      <c r="A128" t="s">
        <v>595</v>
      </c>
      <c r="B128">
        <v>46</v>
      </c>
      <c r="C128" t="s">
        <v>1118</v>
      </c>
      <c r="D128">
        <v>11</v>
      </c>
      <c r="E128" s="2" t="s">
        <v>1591</v>
      </c>
      <c r="J128" t="s">
        <v>595</v>
      </c>
      <c r="K128">
        <v>46</v>
      </c>
      <c r="L128" t="s">
        <v>1268</v>
      </c>
    </row>
    <row r="129" spans="1:12">
      <c r="A129" t="s">
        <v>598</v>
      </c>
      <c r="B129">
        <v>42</v>
      </c>
      <c r="C129" t="s">
        <v>1118</v>
      </c>
      <c r="D129">
        <v>21</v>
      </c>
      <c r="E129" s="2" t="s">
        <v>1726</v>
      </c>
      <c r="J129" t="s">
        <v>598</v>
      </c>
      <c r="K129">
        <v>42</v>
      </c>
      <c r="L129" t="s">
        <v>1401</v>
      </c>
    </row>
    <row r="130" spans="1:12">
      <c r="A130" t="s">
        <v>601</v>
      </c>
      <c r="B130">
        <v>38</v>
      </c>
      <c r="C130" t="s">
        <v>1118</v>
      </c>
      <c r="D130">
        <v>12</v>
      </c>
      <c r="E130" s="2" t="s">
        <v>1594</v>
      </c>
      <c r="J130" t="s">
        <v>601</v>
      </c>
      <c r="K130">
        <v>38</v>
      </c>
      <c r="L130" t="s">
        <v>1271</v>
      </c>
    </row>
    <row r="131" spans="1:12">
      <c r="A131" t="s">
        <v>604</v>
      </c>
      <c r="B131">
        <v>39</v>
      </c>
      <c r="C131" t="s">
        <v>1118</v>
      </c>
      <c r="D131">
        <v>17</v>
      </c>
      <c r="E131" s="2" t="s">
        <v>1674</v>
      </c>
      <c r="J131" t="s">
        <v>604</v>
      </c>
      <c r="K131">
        <v>39</v>
      </c>
      <c r="L131" t="s">
        <v>1350</v>
      </c>
    </row>
    <row r="132" spans="1:12">
      <c r="A132" t="s">
        <v>607</v>
      </c>
      <c r="B132">
        <v>28</v>
      </c>
      <c r="C132" t="s">
        <v>1118</v>
      </c>
      <c r="D132">
        <v>3</v>
      </c>
      <c r="E132" s="2" t="s">
        <v>1467</v>
      </c>
      <c r="J132" t="s">
        <v>607</v>
      </c>
      <c r="K132">
        <v>28</v>
      </c>
      <c r="L132" t="s">
        <v>1149</v>
      </c>
    </row>
    <row r="133" spans="1:12">
      <c r="A133" t="s">
        <v>610</v>
      </c>
      <c r="B133">
        <v>48</v>
      </c>
      <c r="C133" t="s">
        <v>1118</v>
      </c>
      <c r="D133">
        <v>10</v>
      </c>
      <c r="E133" s="2" t="s">
        <v>1565</v>
      </c>
      <c r="J133" t="s">
        <v>610</v>
      </c>
      <c r="K133">
        <v>48</v>
      </c>
      <c r="L133" t="s">
        <v>1242</v>
      </c>
    </row>
    <row r="134" spans="1:12">
      <c r="A134" t="s">
        <v>613</v>
      </c>
      <c r="B134">
        <v>33</v>
      </c>
      <c r="C134" t="s">
        <v>1118</v>
      </c>
      <c r="D134">
        <v>4</v>
      </c>
      <c r="E134" s="2" t="s">
        <v>1482</v>
      </c>
      <c r="J134" t="s">
        <v>613</v>
      </c>
      <c r="K134">
        <v>33</v>
      </c>
      <c r="L134" t="s">
        <v>1161</v>
      </c>
    </row>
    <row r="135" spans="1:12">
      <c r="A135" t="s">
        <v>616</v>
      </c>
      <c r="B135">
        <v>53</v>
      </c>
      <c r="C135" t="s">
        <v>1118</v>
      </c>
      <c r="D135">
        <v>13</v>
      </c>
      <c r="E135" s="2" t="s">
        <v>1611</v>
      </c>
      <c r="J135" t="s">
        <v>616</v>
      </c>
      <c r="K135">
        <v>53</v>
      </c>
      <c r="L135" t="s">
        <v>1288</v>
      </c>
    </row>
    <row r="136" spans="1:12">
      <c r="A136" t="s">
        <v>619</v>
      </c>
      <c r="B136">
        <v>24</v>
      </c>
      <c r="C136" t="s">
        <v>1118</v>
      </c>
      <c r="D136">
        <v>9</v>
      </c>
      <c r="E136" s="2" t="s">
        <v>1556</v>
      </c>
      <c r="J136" t="s">
        <v>619</v>
      </c>
      <c r="K136">
        <v>24</v>
      </c>
      <c r="L136" t="s">
        <v>1233</v>
      </c>
    </row>
    <row r="137" spans="1:12">
      <c r="A137" t="s">
        <v>514</v>
      </c>
      <c r="B137">
        <v>49</v>
      </c>
      <c r="C137" t="s">
        <v>1118</v>
      </c>
      <c r="D137">
        <v>6</v>
      </c>
      <c r="E137" s="2" t="s">
        <v>1511</v>
      </c>
      <c r="J137" t="s">
        <v>514</v>
      </c>
      <c r="K137">
        <v>49</v>
      </c>
      <c r="L137" t="s">
        <v>1190</v>
      </c>
    </row>
    <row r="138" spans="1:12">
      <c r="A138" t="s">
        <v>622</v>
      </c>
      <c r="B138">
        <v>41</v>
      </c>
      <c r="C138" t="s">
        <v>1118</v>
      </c>
      <c r="D138">
        <v>7</v>
      </c>
      <c r="E138" s="2" t="s">
        <v>1526</v>
      </c>
      <c r="J138" t="s">
        <v>622</v>
      </c>
      <c r="K138">
        <v>41</v>
      </c>
      <c r="L138" t="s">
        <v>1205</v>
      </c>
    </row>
    <row r="139" spans="1:12">
      <c r="A139" t="s">
        <v>625</v>
      </c>
      <c r="B139">
        <v>35</v>
      </c>
      <c r="C139" t="s">
        <v>1118</v>
      </c>
      <c r="D139">
        <v>19</v>
      </c>
      <c r="E139" s="2" t="s">
        <v>1700</v>
      </c>
      <c r="J139" t="s">
        <v>625</v>
      </c>
      <c r="K139">
        <v>35</v>
      </c>
      <c r="L139" t="s">
        <v>1375</v>
      </c>
    </row>
    <row r="140" spans="1:12">
      <c r="A140" t="s">
        <v>628</v>
      </c>
      <c r="B140">
        <v>52</v>
      </c>
      <c r="C140" t="s">
        <v>1118</v>
      </c>
      <c r="D140">
        <v>18</v>
      </c>
      <c r="E140" s="2" t="s">
        <v>1678</v>
      </c>
      <c r="J140" t="s">
        <v>628</v>
      </c>
      <c r="K140">
        <v>52</v>
      </c>
      <c r="L140" t="s">
        <v>1354</v>
      </c>
    </row>
    <row r="141" spans="1:12">
      <c r="A141" t="s">
        <v>631</v>
      </c>
      <c r="B141">
        <v>41</v>
      </c>
      <c r="C141" t="s">
        <v>1118</v>
      </c>
      <c r="D141">
        <v>6</v>
      </c>
      <c r="E141" s="2" t="s">
        <v>1520</v>
      </c>
      <c r="J141" t="s">
        <v>631</v>
      </c>
      <c r="K141">
        <v>41</v>
      </c>
      <c r="L141" t="s">
        <v>1199</v>
      </c>
    </row>
    <row r="142" spans="1:12">
      <c r="A142" t="s">
        <v>634</v>
      </c>
      <c r="B142">
        <v>44</v>
      </c>
      <c r="C142" t="s">
        <v>1118</v>
      </c>
      <c r="D142">
        <v>5</v>
      </c>
      <c r="E142" s="2" t="s">
        <v>1498</v>
      </c>
      <c r="J142" t="s">
        <v>634</v>
      </c>
      <c r="K142">
        <v>44</v>
      </c>
      <c r="L142" t="s">
        <v>1177</v>
      </c>
    </row>
    <row r="143" spans="1:12">
      <c r="A143" t="s">
        <v>637</v>
      </c>
      <c r="B143">
        <v>40</v>
      </c>
      <c r="C143" t="s">
        <v>1118</v>
      </c>
      <c r="D143">
        <v>8</v>
      </c>
      <c r="E143" s="2" t="s">
        <v>1546</v>
      </c>
      <c r="J143" t="s">
        <v>637</v>
      </c>
      <c r="K143">
        <v>40</v>
      </c>
      <c r="L143" t="s">
        <v>1224</v>
      </c>
    </row>
    <row r="144" spans="1:12">
      <c r="A144" t="s">
        <v>640</v>
      </c>
      <c r="B144">
        <v>35</v>
      </c>
      <c r="C144" t="s">
        <v>1118</v>
      </c>
      <c r="D144">
        <v>6</v>
      </c>
      <c r="E144" s="2" t="s">
        <v>1510</v>
      </c>
      <c r="J144" t="s">
        <v>640</v>
      </c>
      <c r="K144">
        <v>35</v>
      </c>
      <c r="L144" t="s">
        <v>1189</v>
      </c>
    </row>
    <row r="145" spans="1:13">
      <c r="A145" t="s">
        <v>643</v>
      </c>
      <c r="B145">
        <v>20</v>
      </c>
      <c r="C145" t="s">
        <v>1118</v>
      </c>
      <c r="D145">
        <v>20</v>
      </c>
      <c r="E145" s="2" t="s">
        <v>1718</v>
      </c>
      <c r="J145" t="s">
        <v>643</v>
      </c>
      <c r="K145">
        <v>20</v>
      </c>
      <c r="L145" t="s">
        <v>1393</v>
      </c>
    </row>
    <row r="146" spans="1:13">
      <c r="A146" t="s">
        <v>646</v>
      </c>
      <c r="B146">
        <v>33</v>
      </c>
      <c r="C146" t="s">
        <v>1118</v>
      </c>
      <c r="D146">
        <v>16</v>
      </c>
      <c r="E146" s="2" t="s">
        <v>1655</v>
      </c>
      <c r="J146" t="s">
        <v>646</v>
      </c>
      <c r="K146">
        <v>33</v>
      </c>
      <c r="L146" t="s">
        <v>1332</v>
      </c>
    </row>
    <row r="147" spans="1:13">
      <c r="A147" t="s">
        <v>649</v>
      </c>
      <c r="B147">
        <v>46</v>
      </c>
      <c r="C147" t="s">
        <v>1118</v>
      </c>
      <c r="D147">
        <v>14</v>
      </c>
      <c r="E147" s="2" t="s">
        <v>1626</v>
      </c>
      <c r="J147" t="s">
        <v>649</v>
      </c>
      <c r="K147">
        <v>46</v>
      </c>
      <c r="L147" t="s">
        <v>1303</v>
      </c>
    </row>
    <row r="148" spans="1:13">
      <c r="A148" s="6" t="s">
        <v>517</v>
      </c>
      <c r="B148" s="6">
        <v>77</v>
      </c>
      <c r="C148" s="6" t="s">
        <v>1118</v>
      </c>
      <c r="D148" s="6">
        <v>11</v>
      </c>
      <c r="E148" s="7" t="s">
        <v>1580</v>
      </c>
      <c r="F148" s="6"/>
      <c r="G148" s="6"/>
      <c r="H148" s="6"/>
      <c r="I148" s="6"/>
      <c r="J148" s="6" t="s">
        <v>517</v>
      </c>
      <c r="K148" s="6">
        <v>77</v>
      </c>
      <c r="L148" s="8" t="s">
        <v>1258</v>
      </c>
      <c r="M148" s="9"/>
    </row>
    <row r="149" spans="1:13">
      <c r="A149" t="s">
        <v>652</v>
      </c>
      <c r="B149">
        <v>43</v>
      </c>
      <c r="C149" t="s">
        <v>1118</v>
      </c>
      <c r="D149">
        <v>21</v>
      </c>
      <c r="E149" s="2" t="s">
        <v>1720</v>
      </c>
      <c r="J149" t="s">
        <v>652</v>
      </c>
      <c r="K149">
        <v>43</v>
      </c>
      <c r="L149" t="s">
        <v>1395</v>
      </c>
    </row>
    <row r="150" spans="1:13">
      <c r="A150" t="s">
        <v>655</v>
      </c>
      <c r="B150">
        <v>34</v>
      </c>
      <c r="C150" t="s">
        <v>1118</v>
      </c>
      <c r="D150">
        <v>11</v>
      </c>
      <c r="E150" s="2" t="s">
        <v>1586</v>
      </c>
      <c r="J150" t="s">
        <v>655</v>
      </c>
      <c r="K150">
        <v>34</v>
      </c>
      <c r="L150" t="s">
        <v>1263</v>
      </c>
    </row>
    <row r="151" spans="1:13">
      <c r="A151" t="s">
        <v>658</v>
      </c>
      <c r="B151">
        <v>34</v>
      </c>
      <c r="C151" t="s">
        <v>1118</v>
      </c>
      <c r="D151">
        <v>14</v>
      </c>
      <c r="E151" s="2" t="s">
        <v>1625</v>
      </c>
      <c r="J151" t="s">
        <v>658</v>
      </c>
      <c r="K151">
        <v>34</v>
      </c>
      <c r="L151" t="s">
        <v>1302</v>
      </c>
    </row>
    <row r="152" spans="1:13">
      <c r="A152" t="s">
        <v>661</v>
      </c>
      <c r="B152">
        <v>39</v>
      </c>
      <c r="C152" t="s">
        <v>1118</v>
      </c>
      <c r="D152">
        <v>20</v>
      </c>
      <c r="E152" s="2" t="s">
        <v>1715</v>
      </c>
      <c r="J152" t="s">
        <v>661</v>
      </c>
      <c r="K152">
        <v>39</v>
      </c>
      <c r="L152" t="s">
        <v>1390</v>
      </c>
    </row>
    <row r="153" spans="1:13">
      <c r="A153" t="s">
        <v>664</v>
      </c>
      <c r="B153">
        <v>26</v>
      </c>
      <c r="C153" t="s">
        <v>1118</v>
      </c>
      <c r="D153">
        <v>8</v>
      </c>
      <c r="E153" s="2" t="s">
        <v>1537</v>
      </c>
      <c r="J153" t="s">
        <v>664</v>
      </c>
      <c r="K153">
        <v>26</v>
      </c>
      <c r="L153" t="s">
        <v>1215</v>
      </c>
    </row>
    <row r="154" spans="1:13">
      <c r="A154" t="s">
        <v>667</v>
      </c>
      <c r="B154">
        <v>38</v>
      </c>
      <c r="C154" t="s">
        <v>1118</v>
      </c>
      <c r="D154">
        <v>22</v>
      </c>
      <c r="E154" s="2" t="s">
        <v>1738</v>
      </c>
      <c r="J154" t="s">
        <v>667</v>
      </c>
      <c r="K154">
        <v>38</v>
      </c>
      <c r="L154" t="s">
        <v>1412</v>
      </c>
    </row>
    <row r="155" spans="1:13">
      <c r="A155" t="s">
        <v>670</v>
      </c>
      <c r="B155">
        <v>46</v>
      </c>
      <c r="C155" t="s">
        <v>1118</v>
      </c>
      <c r="D155">
        <v>2</v>
      </c>
      <c r="E155" s="2" t="s">
        <v>1456</v>
      </c>
      <c r="J155" t="s">
        <v>670</v>
      </c>
      <c r="K155">
        <v>46</v>
      </c>
      <c r="L155" t="s">
        <v>1138</v>
      </c>
    </row>
    <row r="156" spans="1:13">
      <c r="A156" t="s">
        <v>674</v>
      </c>
      <c r="B156">
        <v>36</v>
      </c>
      <c r="C156" t="s">
        <v>1118</v>
      </c>
      <c r="D156">
        <v>5</v>
      </c>
      <c r="E156" s="2" t="s">
        <v>1501</v>
      </c>
      <c r="J156" t="s">
        <v>674</v>
      </c>
      <c r="K156">
        <v>36</v>
      </c>
      <c r="L156" t="s">
        <v>1180</v>
      </c>
    </row>
    <row r="157" spans="1:13">
      <c r="A157" t="s">
        <v>677</v>
      </c>
      <c r="B157">
        <v>30</v>
      </c>
      <c r="C157" t="s">
        <v>1118</v>
      </c>
      <c r="D157">
        <v>5</v>
      </c>
      <c r="E157" s="2" t="s">
        <v>1499</v>
      </c>
      <c r="J157" t="s">
        <v>677</v>
      </c>
      <c r="K157">
        <v>30</v>
      </c>
      <c r="L157" t="s">
        <v>1178</v>
      </c>
    </row>
    <row r="158" spans="1:13">
      <c r="A158" t="s">
        <v>680</v>
      </c>
      <c r="B158">
        <v>21</v>
      </c>
      <c r="C158" t="s">
        <v>1118</v>
      </c>
      <c r="D158">
        <v>18</v>
      </c>
      <c r="E158" s="2" t="s">
        <v>1686</v>
      </c>
      <c r="J158" t="s">
        <v>680</v>
      </c>
      <c r="K158">
        <v>21</v>
      </c>
      <c r="L158" t="s">
        <v>1362</v>
      </c>
    </row>
    <row r="159" spans="1:13">
      <c r="A159" t="s">
        <v>520</v>
      </c>
      <c r="B159">
        <v>50</v>
      </c>
      <c r="C159" t="s">
        <v>1118</v>
      </c>
      <c r="D159">
        <v>6</v>
      </c>
      <c r="E159" s="2" t="s">
        <v>1517</v>
      </c>
      <c r="J159" t="s">
        <v>520</v>
      </c>
      <c r="K159">
        <v>50</v>
      </c>
      <c r="L159" t="s">
        <v>1196</v>
      </c>
    </row>
    <row r="160" spans="1:13">
      <c r="A160" t="s">
        <v>683</v>
      </c>
      <c r="B160">
        <v>36</v>
      </c>
      <c r="C160" t="s">
        <v>1118</v>
      </c>
      <c r="D160">
        <v>1</v>
      </c>
      <c r="E160" s="2" t="s">
        <v>1440</v>
      </c>
      <c r="J160" t="s">
        <v>683</v>
      </c>
      <c r="K160">
        <v>36</v>
      </c>
      <c r="L160" t="s">
        <v>1123</v>
      </c>
    </row>
    <row r="161" spans="1:14">
      <c r="A161" t="s">
        <v>686</v>
      </c>
      <c r="B161">
        <v>47</v>
      </c>
      <c r="C161" t="s">
        <v>1118</v>
      </c>
      <c r="D161">
        <v>12</v>
      </c>
      <c r="E161" s="2" t="s">
        <v>1593</v>
      </c>
      <c r="J161" t="s">
        <v>686</v>
      </c>
      <c r="K161">
        <v>47</v>
      </c>
      <c r="L161" t="s">
        <v>1270</v>
      </c>
    </row>
    <row r="162" spans="1:14">
      <c r="A162" t="s">
        <v>689</v>
      </c>
      <c r="B162">
        <v>26</v>
      </c>
      <c r="C162" t="s">
        <v>1118</v>
      </c>
      <c r="D162">
        <v>9</v>
      </c>
      <c r="E162" s="2" t="s">
        <v>1558</v>
      </c>
      <c r="J162" t="s">
        <v>689</v>
      </c>
      <c r="K162">
        <v>26</v>
      </c>
      <c r="L162" t="s">
        <v>1235</v>
      </c>
    </row>
    <row r="163" spans="1:14">
      <c r="A163" t="s">
        <v>692</v>
      </c>
      <c r="B163">
        <v>27</v>
      </c>
      <c r="C163" t="s">
        <v>1118</v>
      </c>
      <c r="D163">
        <v>19</v>
      </c>
      <c r="E163" s="2" t="s">
        <v>1692</v>
      </c>
      <c r="J163" t="s">
        <v>692</v>
      </c>
      <c r="K163">
        <v>27</v>
      </c>
      <c r="L163" t="s">
        <v>1367</v>
      </c>
    </row>
    <row r="164" spans="1:14">
      <c r="A164" t="s">
        <v>695</v>
      </c>
      <c r="B164">
        <v>23</v>
      </c>
      <c r="C164" t="s">
        <v>1118</v>
      </c>
      <c r="D164">
        <v>1</v>
      </c>
      <c r="E164" s="2" t="s">
        <v>1447</v>
      </c>
      <c r="J164" t="s">
        <v>695</v>
      </c>
      <c r="K164">
        <v>23</v>
      </c>
      <c r="L164" t="s">
        <v>1131</v>
      </c>
    </row>
    <row r="165" spans="1:14">
      <c r="A165" t="s">
        <v>698</v>
      </c>
      <c r="B165">
        <v>32</v>
      </c>
      <c r="C165" t="s">
        <v>1118</v>
      </c>
      <c r="D165">
        <v>14</v>
      </c>
      <c r="E165" s="2" t="s">
        <v>1633</v>
      </c>
      <c r="J165" t="s">
        <v>698</v>
      </c>
      <c r="K165">
        <v>32</v>
      </c>
      <c r="L165" t="s">
        <v>1310</v>
      </c>
    </row>
    <row r="166" spans="1:14">
      <c r="A166" t="s">
        <v>701</v>
      </c>
      <c r="B166">
        <v>27</v>
      </c>
      <c r="C166" t="s">
        <v>1118</v>
      </c>
      <c r="D166">
        <v>18</v>
      </c>
      <c r="E166" s="2" t="s">
        <v>1690</v>
      </c>
      <c r="J166" t="s">
        <v>701</v>
      </c>
      <c r="K166">
        <v>27</v>
      </c>
      <c r="L166" t="s">
        <v>1766</v>
      </c>
    </row>
    <row r="167" spans="1:14">
      <c r="A167" t="s">
        <v>704</v>
      </c>
      <c r="B167">
        <v>33</v>
      </c>
      <c r="C167" t="s">
        <v>1118</v>
      </c>
      <c r="D167">
        <v>4</v>
      </c>
      <c r="E167" s="2" t="s">
        <v>1487</v>
      </c>
      <c r="J167" t="s">
        <v>704</v>
      </c>
      <c r="K167">
        <v>33</v>
      </c>
      <c r="L167" t="s">
        <v>1166</v>
      </c>
    </row>
    <row r="168" spans="1:14">
      <c r="A168" t="s">
        <v>707</v>
      </c>
      <c r="B168">
        <v>37</v>
      </c>
      <c r="C168" t="s">
        <v>1118</v>
      </c>
      <c r="D168">
        <v>6</v>
      </c>
      <c r="E168" s="2" t="s">
        <v>1521</v>
      </c>
      <c r="J168" t="s">
        <v>707</v>
      </c>
      <c r="K168">
        <v>37</v>
      </c>
      <c r="L168" t="s">
        <v>1200</v>
      </c>
    </row>
    <row r="169" spans="1:14">
      <c r="A169" t="s">
        <v>710</v>
      </c>
      <c r="B169">
        <v>47</v>
      </c>
      <c r="C169" t="s">
        <v>1118</v>
      </c>
      <c r="D169">
        <v>1</v>
      </c>
      <c r="E169" s="2" t="s">
        <v>1445</v>
      </c>
      <c r="J169" t="s">
        <v>710</v>
      </c>
      <c r="K169">
        <v>47</v>
      </c>
      <c r="L169" t="s">
        <v>1128</v>
      </c>
    </row>
    <row r="170" spans="1:14" s="1" customFormat="1">
      <c r="A170" t="s">
        <v>523</v>
      </c>
      <c r="B170">
        <v>40</v>
      </c>
      <c r="C170" t="s">
        <v>1118</v>
      </c>
      <c r="D170">
        <v>12</v>
      </c>
      <c r="E170" s="2" t="s">
        <v>1598</v>
      </c>
      <c r="F170"/>
      <c r="G170"/>
      <c r="H170"/>
      <c r="I170"/>
      <c r="J170" t="s">
        <v>523</v>
      </c>
      <c r="K170">
        <v>40</v>
      </c>
      <c r="L170" t="s">
        <v>1275</v>
      </c>
      <c r="M170"/>
      <c r="N170" s="5"/>
    </row>
    <row r="171" spans="1:14">
      <c r="A171" t="s">
        <v>713</v>
      </c>
      <c r="B171">
        <v>31</v>
      </c>
      <c r="C171" t="s">
        <v>1118</v>
      </c>
      <c r="D171">
        <v>15</v>
      </c>
      <c r="E171" s="2" t="s">
        <v>1644</v>
      </c>
      <c r="J171" t="s">
        <v>713</v>
      </c>
      <c r="K171">
        <v>31</v>
      </c>
      <c r="L171" t="s">
        <v>1321</v>
      </c>
    </row>
    <row r="172" spans="1:14">
      <c r="A172" t="s">
        <v>716</v>
      </c>
      <c r="B172">
        <v>52</v>
      </c>
      <c r="C172" t="s">
        <v>1118</v>
      </c>
      <c r="D172">
        <v>14</v>
      </c>
      <c r="E172" s="2" t="s">
        <v>1630</v>
      </c>
      <c r="J172" t="s">
        <v>716</v>
      </c>
      <c r="K172">
        <v>52</v>
      </c>
      <c r="L172" t="s">
        <v>1307</v>
      </c>
    </row>
    <row r="173" spans="1:14">
      <c r="A173" t="s">
        <v>719</v>
      </c>
      <c r="B173">
        <v>26</v>
      </c>
      <c r="C173" t="s">
        <v>1118</v>
      </c>
      <c r="D173">
        <v>20</v>
      </c>
      <c r="E173" s="2" t="s">
        <v>1712</v>
      </c>
      <c r="J173" t="s">
        <v>719</v>
      </c>
      <c r="K173">
        <v>26</v>
      </c>
      <c r="L173" t="s">
        <v>1387</v>
      </c>
    </row>
    <row r="174" spans="1:14">
      <c r="A174" t="s">
        <v>722</v>
      </c>
      <c r="B174">
        <v>38</v>
      </c>
      <c r="C174" t="s">
        <v>1118</v>
      </c>
      <c r="D174">
        <v>8</v>
      </c>
      <c r="E174" s="2" t="s">
        <v>1549</v>
      </c>
      <c r="J174" t="s">
        <v>722</v>
      </c>
      <c r="K174">
        <v>38</v>
      </c>
      <c r="L174" t="s">
        <v>1227</v>
      </c>
    </row>
    <row r="175" spans="1:14">
      <c r="A175" t="s">
        <v>725</v>
      </c>
      <c r="B175">
        <v>31</v>
      </c>
      <c r="C175" t="s">
        <v>1118</v>
      </c>
      <c r="D175">
        <v>4</v>
      </c>
      <c r="E175" s="2" t="s">
        <v>1483</v>
      </c>
      <c r="J175" t="s">
        <v>725</v>
      </c>
      <c r="K175">
        <v>31</v>
      </c>
      <c r="L175" t="s">
        <v>1162</v>
      </c>
    </row>
    <row r="176" spans="1:14">
      <c r="A176" t="s">
        <v>728</v>
      </c>
      <c r="B176">
        <v>31</v>
      </c>
      <c r="C176" t="s">
        <v>1118</v>
      </c>
      <c r="D176">
        <v>16</v>
      </c>
      <c r="E176" s="2" t="s">
        <v>1659</v>
      </c>
      <c r="J176" t="s">
        <v>728</v>
      </c>
      <c r="K176">
        <v>31</v>
      </c>
      <c r="L176" t="s">
        <v>1336</v>
      </c>
    </row>
    <row r="177" spans="1:12">
      <c r="A177" t="s">
        <v>731</v>
      </c>
      <c r="B177">
        <v>24</v>
      </c>
      <c r="C177" t="s">
        <v>1118</v>
      </c>
      <c r="D177">
        <v>10</v>
      </c>
      <c r="E177" s="2" t="s">
        <v>1574</v>
      </c>
      <c r="J177" t="s">
        <v>731</v>
      </c>
      <c r="K177">
        <v>24</v>
      </c>
      <c r="L177" t="s">
        <v>1251</v>
      </c>
    </row>
    <row r="178" spans="1:12">
      <c r="A178" t="s">
        <v>734</v>
      </c>
      <c r="B178">
        <v>26</v>
      </c>
      <c r="C178" t="s">
        <v>1118</v>
      </c>
      <c r="D178">
        <v>13</v>
      </c>
      <c r="E178" s="2" t="s">
        <v>1615</v>
      </c>
      <c r="J178" t="s">
        <v>734</v>
      </c>
      <c r="K178">
        <v>26</v>
      </c>
      <c r="L178" t="s">
        <v>1292</v>
      </c>
    </row>
    <row r="179" spans="1:12">
      <c r="A179" t="s">
        <v>737</v>
      </c>
      <c r="B179">
        <v>35</v>
      </c>
      <c r="C179" t="s">
        <v>1118</v>
      </c>
      <c r="D179">
        <v>19</v>
      </c>
      <c r="E179" s="2" t="s">
        <v>1695</v>
      </c>
      <c r="J179" t="s">
        <v>737</v>
      </c>
      <c r="K179">
        <v>35</v>
      </c>
      <c r="L179" t="s">
        <v>1370</v>
      </c>
    </row>
    <row r="180" spans="1:12">
      <c r="A180" t="s">
        <v>740</v>
      </c>
      <c r="B180">
        <v>31</v>
      </c>
      <c r="C180" t="s">
        <v>1118</v>
      </c>
      <c r="D180">
        <v>6</v>
      </c>
      <c r="E180" s="2" t="s">
        <v>1522</v>
      </c>
      <c r="J180" t="s">
        <v>740</v>
      </c>
      <c r="K180">
        <v>31</v>
      </c>
      <c r="L180" t="s">
        <v>1201</v>
      </c>
    </row>
    <row r="181" spans="1:12">
      <c r="A181" t="s">
        <v>526</v>
      </c>
      <c r="B181">
        <v>63</v>
      </c>
      <c r="C181" t="s">
        <v>1118</v>
      </c>
      <c r="D181">
        <v>2</v>
      </c>
      <c r="E181" s="2" t="s">
        <v>1460</v>
      </c>
      <c r="J181" t="s">
        <v>526</v>
      </c>
      <c r="K181">
        <v>63</v>
      </c>
      <c r="L181" t="s">
        <v>1142</v>
      </c>
    </row>
    <row r="182" spans="1:12">
      <c r="A182" t="s">
        <v>743</v>
      </c>
      <c r="B182">
        <v>28</v>
      </c>
      <c r="C182" t="s">
        <v>1118</v>
      </c>
      <c r="D182">
        <v>8</v>
      </c>
      <c r="E182" s="2" t="s">
        <v>1539</v>
      </c>
      <c r="J182" t="s">
        <v>743</v>
      </c>
      <c r="K182">
        <v>28</v>
      </c>
      <c r="L182" t="s">
        <v>1217</v>
      </c>
    </row>
    <row r="183" spans="1:12">
      <c r="A183" t="s">
        <v>746</v>
      </c>
      <c r="B183">
        <v>48</v>
      </c>
      <c r="C183" t="s">
        <v>1118</v>
      </c>
      <c r="D183">
        <v>16</v>
      </c>
      <c r="E183" s="2" t="s">
        <v>1651</v>
      </c>
      <c r="J183" t="s">
        <v>746</v>
      </c>
      <c r="K183">
        <v>48</v>
      </c>
      <c r="L183" t="s">
        <v>1328</v>
      </c>
    </row>
    <row r="184" spans="1:12">
      <c r="A184" t="s">
        <v>749</v>
      </c>
      <c r="B184">
        <v>31</v>
      </c>
      <c r="C184" t="s">
        <v>1118</v>
      </c>
      <c r="D184">
        <v>18</v>
      </c>
      <c r="E184" s="2" t="s">
        <v>1688</v>
      </c>
      <c r="J184" t="s">
        <v>749</v>
      </c>
      <c r="K184">
        <v>31</v>
      </c>
      <c r="L184" t="s">
        <v>1364</v>
      </c>
    </row>
    <row r="185" spans="1:12">
      <c r="A185" t="s">
        <v>752</v>
      </c>
      <c r="B185">
        <v>41</v>
      </c>
      <c r="C185" t="s">
        <v>1118</v>
      </c>
      <c r="D185">
        <v>4</v>
      </c>
      <c r="E185" s="2" t="s">
        <v>1484</v>
      </c>
      <c r="J185" t="s">
        <v>752</v>
      </c>
      <c r="K185">
        <v>41</v>
      </c>
      <c r="L185" t="s">
        <v>1163</v>
      </c>
    </row>
    <row r="186" spans="1:12">
      <c r="A186" t="s">
        <v>755</v>
      </c>
      <c r="B186">
        <v>25</v>
      </c>
      <c r="C186" t="s">
        <v>1118</v>
      </c>
      <c r="D186">
        <v>22</v>
      </c>
      <c r="E186" s="2" t="s">
        <v>1733</v>
      </c>
      <c r="J186" t="s">
        <v>755</v>
      </c>
      <c r="K186">
        <v>25</v>
      </c>
      <c r="L186" t="s">
        <v>1407</v>
      </c>
    </row>
    <row r="187" spans="1:12">
      <c r="A187" t="s">
        <v>758</v>
      </c>
      <c r="B187">
        <v>42</v>
      </c>
      <c r="C187" t="s">
        <v>1118</v>
      </c>
      <c r="D187">
        <v>4</v>
      </c>
      <c r="E187" s="2" t="s">
        <v>1491</v>
      </c>
      <c r="J187" t="s">
        <v>758</v>
      </c>
      <c r="K187">
        <v>42</v>
      </c>
      <c r="L187" t="s">
        <v>1170</v>
      </c>
    </row>
    <row r="188" spans="1:12">
      <c r="A188" t="s">
        <v>761</v>
      </c>
      <c r="B188">
        <v>44</v>
      </c>
      <c r="C188" t="s">
        <v>1118</v>
      </c>
      <c r="D188">
        <v>7</v>
      </c>
      <c r="E188" s="2" t="s">
        <v>1523</v>
      </c>
      <c r="J188" t="s">
        <v>761</v>
      </c>
      <c r="K188">
        <v>44</v>
      </c>
      <c r="L188" t="s">
        <v>1202</v>
      </c>
    </row>
    <row r="189" spans="1:12">
      <c r="A189" t="s">
        <v>764</v>
      </c>
      <c r="B189">
        <v>45</v>
      </c>
      <c r="C189" t="s">
        <v>1118</v>
      </c>
      <c r="D189">
        <v>10</v>
      </c>
      <c r="E189" s="2" t="s">
        <v>1572</v>
      </c>
      <c r="J189" t="s">
        <v>764</v>
      </c>
      <c r="K189">
        <v>45</v>
      </c>
      <c r="L189" t="s">
        <v>1249</v>
      </c>
    </row>
    <row r="190" spans="1:12">
      <c r="A190" t="s">
        <v>768</v>
      </c>
      <c r="B190">
        <v>20</v>
      </c>
      <c r="C190" t="s">
        <v>1118</v>
      </c>
      <c r="D190">
        <v>3</v>
      </c>
      <c r="E190" s="2" t="s">
        <v>1477</v>
      </c>
      <c r="J190" t="s">
        <v>768</v>
      </c>
      <c r="K190">
        <v>20</v>
      </c>
      <c r="L190" t="s">
        <v>1158</v>
      </c>
    </row>
    <row r="191" spans="1:12">
      <c r="A191" t="s">
        <v>771</v>
      </c>
      <c r="B191">
        <v>47</v>
      </c>
      <c r="C191" t="s">
        <v>1118</v>
      </c>
      <c r="D191">
        <v>13</v>
      </c>
      <c r="E191" s="2" t="s">
        <v>1614</v>
      </c>
      <c r="J191" t="s">
        <v>771</v>
      </c>
      <c r="K191">
        <v>47</v>
      </c>
      <c r="L191" t="s">
        <v>1291</v>
      </c>
    </row>
    <row r="192" spans="1:12">
      <c r="A192" t="s">
        <v>529</v>
      </c>
      <c r="B192">
        <v>50</v>
      </c>
      <c r="C192" t="s">
        <v>1118</v>
      </c>
      <c r="D192">
        <v>10</v>
      </c>
      <c r="E192" s="2" t="s">
        <v>1577</v>
      </c>
      <c r="J192" t="s">
        <v>529</v>
      </c>
      <c r="K192">
        <v>50</v>
      </c>
      <c r="L192" t="s">
        <v>1254</v>
      </c>
    </row>
    <row r="193" spans="1:12">
      <c r="A193" t="s">
        <v>774</v>
      </c>
      <c r="B193">
        <v>20</v>
      </c>
      <c r="C193" t="s">
        <v>1118</v>
      </c>
      <c r="D193">
        <v>12</v>
      </c>
      <c r="E193" s="2" t="s">
        <v>1603</v>
      </c>
      <c r="J193" t="s">
        <v>774</v>
      </c>
      <c r="K193">
        <v>20</v>
      </c>
      <c r="L193" t="s">
        <v>1280</v>
      </c>
    </row>
    <row r="194" spans="1:12">
      <c r="A194" t="s">
        <v>777</v>
      </c>
      <c r="B194">
        <v>37</v>
      </c>
      <c r="C194" t="s">
        <v>1118</v>
      </c>
      <c r="D194">
        <v>3</v>
      </c>
      <c r="E194" s="2" t="s">
        <v>1474</v>
      </c>
      <c r="J194" t="s">
        <v>777</v>
      </c>
      <c r="K194">
        <v>37</v>
      </c>
      <c r="L194" t="s">
        <v>1155</v>
      </c>
    </row>
    <row r="195" spans="1:12">
      <c r="A195" t="s">
        <v>780</v>
      </c>
      <c r="B195">
        <v>32</v>
      </c>
      <c r="C195" t="s">
        <v>1118</v>
      </c>
      <c r="D195">
        <v>7</v>
      </c>
      <c r="E195" s="2" t="s">
        <v>1528</v>
      </c>
      <c r="J195" t="s">
        <v>780</v>
      </c>
      <c r="K195">
        <v>32</v>
      </c>
      <c r="L195" t="s">
        <v>1207</v>
      </c>
    </row>
    <row r="196" spans="1:12">
      <c r="A196" t="s">
        <v>783</v>
      </c>
      <c r="B196">
        <v>30</v>
      </c>
      <c r="C196" t="s">
        <v>1118</v>
      </c>
      <c r="D196">
        <v>22</v>
      </c>
      <c r="E196" s="2" t="s">
        <v>1739</v>
      </c>
      <c r="J196" t="s">
        <v>783</v>
      </c>
      <c r="K196">
        <v>30</v>
      </c>
      <c r="L196" t="s">
        <v>1413</v>
      </c>
    </row>
    <row r="197" spans="1:12">
      <c r="A197" t="s">
        <v>786</v>
      </c>
      <c r="B197">
        <v>33</v>
      </c>
      <c r="C197" t="s">
        <v>1118</v>
      </c>
      <c r="D197">
        <v>5</v>
      </c>
      <c r="E197" s="2" t="s">
        <v>1497</v>
      </c>
      <c r="J197" t="s">
        <v>786</v>
      </c>
      <c r="K197">
        <v>33</v>
      </c>
      <c r="L197" t="s">
        <v>1176</v>
      </c>
    </row>
    <row r="198" spans="1:12">
      <c r="A198" t="s">
        <v>789</v>
      </c>
      <c r="B198">
        <v>43</v>
      </c>
      <c r="C198" t="s">
        <v>1118</v>
      </c>
      <c r="D198">
        <v>13</v>
      </c>
      <c r="E198" s="2" t="s">
        <v>1612</v>
      </c>
      <c r="J198" t="s">
        <v>789</v>
      </c>
      <c r="K198">
        <v>43</v>
      </c>
      <c r="L198" t="s">
        <v>1289</v>
      </c>
    </row>
    <row r="199" spans="1:12">
      <c r="A199" t="s">
        <v>793</v>
      </c>
      <c r="B199">
        <v>34</v>
      </c>
      <c r="C199" t="s">
        <v>1118</v>
      </c>
      <c r="D199">
        <v>15</v>
      </c>
      <c r="E199" s="2" t="s">
        <v>1635</v>
      </c>
      <c r="J199" t="s">
        <v>793</v>
      </c>
      <c r="K199">
        <v>34</v>
      </c>
      <c r="L199" t="s">
        <v>1312</v>
      </c>
    </row>
    <row r="200" spans="1:12">
      <c r="A200" t="s">
        <v>796</v>
      </c>
      <c r="B200">
        <v>30</v>
      </c>
      <c r="C200" t="s">
        <v>1118</v>
      </c>
      <c r="D200">
        <v>17</v>
      </c>
      <c r="E200" s="2" t="s">
        <v>1663</v>
      </c>
      <c r="J200" t="s">
        <v>796</v>
      </c>
      <c r="K200">
        <v>30</v>
      </c>
      <c r="L200" t="s">
        <v>1339</v>
      </c>
    </row>
    <row r="201" spans="1:12">
      <c r="A201" t="s">
        <v>799</v>
      </c>
      <c r="B201">
        <v>43</v>
      </c>
      <c r="C201" t="s">
        <v>1118</v>
      </c>
      <c r="D201">
        <v>5</v>
      </c>
      <c r="E201" s="2" t="s">
        <v>1504</v>
      </c>
      <c r="J201" t="s">
        <v>799</v>
      </c>
      <c r="K201">
        <v>43</v>
      </c>
      <c r="L201" t="s">
        <v>1183</v>
      </c>
    </row>
    <row r="202" spans="1:12">
      <c r="A202" t="s">
        <v>802</v>
      </c>
      <c r="B202">
        <v>28</v>
      </c>
      <c r="C202" t="s">
        <v>1118</v>
      </c>
      <c r="D202">
        <v>15</v>
      </c>
      <c r="E202" s="2" t="s">
        <v>1645</v>
      </c>
      <c r="J202" t="s">
        <v>802</v>
      </c>
      <c r="K202">
        <v>28</v>
      </c>
      <c r="L202" t="s">
        <v>1322</v>
      </c>
    </row>
    <row r="203" spans="1:12">
      <c r="A203" t="s">
        <v>51</v>
      </c>
      <c r="B203">
        <v>50</v>
      </c>
      <c r="C203" t="s">
        <v>479</v>
      </c>
      <c r="D203">
        <v>14</v>
      </c>
      <c r="E203" s="2" t="s">
        <v>1629</v>
      </c>
      <c r="J203" t="s">
        <v>51</v>
      </c>
      <c r="K203">
        <v>50</v>
      </c>
      <c r="L203" t="s">
        <v>1306</v>
      </c>
    </row>
    <row r="204" spans="1:12">
      <c r="A204" t="s">
        <v>422</v>
      </c>
      <c r="B204">
        <v>52</v>
      </c>
      <c r="C204" t="s">
        <v>479</v>
      </c>
      <c r="D204">
        <v>11</v>
      </c>
      <c r="E204" s="2" t="s">
        <v>1588</v>
      </c>
      <c r="J204" t="s">
        <v>422</v>
      </c>
      <c r="K204">
        <v>52</v>
      </c>
      <c r="L204" t="s">
        <v>1265</v>
      </c>
    </row>
    <row r="205" spans="1:12">
      <c r="A205" t="s">
        <v>426</v>
      </c>
      <c r="B205">
        <v>51</v>
      </c>
      <c r="C205" t="s">
        <v>489</v>
      </c>
      <c r="D205">
        <v>17</v>
      </c>
      <c r="E205" s="2" t="s">
        <v>1670</v>
      </c>
      <c r="J205" t="s">
        <v>426</v>
      </c>
      <c r="K205">
        <v>51</v>
      </c>
      <c r="L205" t="s">
        <v>1346</v>
      </c>
    </row>
    <row r="206" spans="1:12">
      <c r="A206" t="s">
        <v>430</v>
      </c>
      <c r="B206">
        <v>73</v>
      </c>
      <c r="C206" t="s">
        <v>479</v>
      </c>
      <c r="D206">
        <v>9</v>
      </c>
      <c r="E206" s="2" t="s">
        <v>1561</v>
      </c>
      <c r="J206" t="s">
        <v>430</v>
      </c>
      <c r="K206">
        <v>73</v>
      </c>
      <c r="L206" t="s">
        <v>1238</v>
      </c>
    </row>
    <row r="207" spans="1:12">
      <c r="A207" t="s">
        <v>438</v>
      </c>
      <c r="B207">
        <v>56</v>
      </c>
      <c r="C207" t="s">
        <v>481</v>
      </c>
      <c r="D207">
        <v>3</v>
      </c>
      <c r="E207" s="2" t="s">
        <v>1478</v>
      </c>
      <c r="J207" t="s">
        <v>438</v>
      </c>
      <c r="K207">
        <v>56</v>
      </c>
      <c r="L207" t="s">
        <v>1159</v>
      </c>
    </row>
    <row r="208" spans="1:12">
      <c r="A208" t="s">
        <v>442</v>
      </c>
      <c r="B208">
        <v>53</v>
      </c>
      <c r="C208" t="s">
        <v>479</v>
      </c>
      <c r="D208">
        <v>17</v>
      </c>
      <c r="E208" s="2" t="s">
        <v>1673</v>
      </c>
      <c r="J208" t="s">
        <v>442</v>
      </c>
      <c r="K208">
        <v>53</v>
      </c>
      <c r="L208" t="s">
        <v>1349</v>
      </c>
    </row>
    <row r="209" spans="1:12">
      <c r="A209" t="s">
        <v>446</v>
      </c>
      <c r="B209">
        <v>48</v>
      </c>
      <c r="C209" t="s">
        <v>479</v>
      </c>
      <c r="D209">
        <v>13</v>
      </c>
      <c r="E209" s="2" t="s">
        <v>1608</v>
      </c>
      <c r="J209" t="s">
        <v>446</v>
      </c>
      <c r="K209">
        <v>48</v>
      </c>
      <c r="L209" t="s">
        <v>1285</v>
      </c>
    </row>
    <row r="210" spans="1:12">
      <c r="A210" t="s">
        <v>450</v>
      </c>
      <c r="B210">
        <v>69</v>
      </c>
      <c r="C210" t="s">
        <v>479</v>
      </c>
      <c r="D210">
        <v>14</v>
      </c>
      <c r="E210" s="2" t="s">
        <v>1634</v>
      </c>
      <c r="J210" t="s">
        <v>450</v>
      </c>
      <c r="K210">
        <v>69</v>
      </c>
      <c r="L210" t="s">
        <v>1311</v>
      </c>
    </row>
    <row r="211" spans="1:12">
      <c r="A211" t="s">
        <v>454</v>
      </c>
      <c r="B211">
        <v>75</v>
      </c>
      <c r="C211" t="s">
        <v>481</v>
      </c>
      <c r="D211">
        <v>3</v>
      </c>
      <c r="E211" s="2" t="s">
        <v>1468</v>
      </c>
      <c r="J211" t="s">
        <v>454</v>
      </c>
      <c r="K211">
        <v>75</v>
      </c>
      <c r="L211" t="s">
        <v>1150</v>
      </c>
    </row>
    <row r="212" spans="1:12">
      <c r="A212" t="s">
        <v>457</v>
      </c>
      <c r="B212">
        <v>64</v>
      </c>
      <c r="C212" t="s">
        <v>479</v>
      </c>
      <c r="D212">
        <v>4</v>
      </c>
      <c r="E212" s="2" t="s">
        <v>1489</v>
      </c>
      <c r="J212" t="s">
        <v>457</v>
      </c>
      <c r="K212">
        <v>64</v>
      </c>
      <c r="L212" t="s">
        <v>1168</v>
      </c>
    </row>
    <row r="213" spans="1:12">
      <c r="A213" t="s">
        <v>56</v>
      </c>
      <c r="B213">
        <v>50</v>
      </c>
      <c r="C213" t="s">
        <v>479</v>
      </c>
      <c r="D213">
        <v>1</v>
      </c>
      <c r="E213" s="2" t="s">
        <v>1439</v>
      </c>
      <c r="J213" t="s">
        <v>56</v>
      </c>
      <c r="K213">
        <v>50</v>
      </c>
      <c r="L213" t="s">
        <v>1122</v>
      </c>
    </row>
    <row r="214" spans="1:12">
      <c r="A214" t="s">
        <v>461</v>
      </c>
      <c r="B214">
        <v>57</v>
      </c>
      <c r="C214" t="s">
        <v>479</v>
      </c>
      <c r="D214">
        <v>6</v>
      </c>
      <c r="E214" s="2" t="s">
        <v>1515</v>
      </c>
      <c r="J214" t="s">
        <v>461</v>
      </c>
      <c r="K214">
        <v>57</v>
      </c>
      <c r="L214" t="s">
        <v>1194</v>
      </c>
    </row>
    <row r="215" spans="1:12">
      <c r="A215" t="s">
        <v>464</v>
      </c>
      <c r="B215">
        <v>71</v>
      </c>
      <c r="C215" t="s">
        <v>479</v>
      </c>
      <c r="D215">
        <v>13</v>
      </c>
      <c r="E215" s="2" t="s">
        <v>1618</v>
      </c>
      <c r="J215" t="s">
        <v>464</v>
      </c>
      <c r="K215">
        <v>71</v>
      </c>
      <c r="L215" t="s">
        <v>1295</v>
      </c>
    </row>
    <row r="216" spans="1:12">
      <c r="A216" t="s">
        <v>467</v>
      </c>
      <c r="B216">
        <v>51</v>
      </c>
      <c r="C216" t="s">
        <v>479</v>
      </c>
      <c r="D216">
        <v>18</v>
      </c>
      <c r="E216" s="2" t="s">
        <v>1684</v>
      </c>
      <c r="J216" t="s">
        <v>467</v>
      </c>
      <c r="K216">
        <v>51</v>
      </c>
      <c r="L216" t="s">
        <v>1360</v>
      </c>
    </row>
    <row r="217" spans="1:12">
      <c r="A217" t="s">
        <v>471</v>
      </c>
      <c r="B217">
        <v>54</v>
      </c>
      <c r="C217" t="s">
        <v>489</v>
      </c>
      <c r="D217">
        <v>5</v>
      </c>
      <c r="E217" s="2" t="s">
        <v>1500</v>
      </c>
      <c r="J217" t="s">
        <v>471</v>
      </c>
      <c r="K217">
        <v>54</v>
      </c>
      <c r="L217" t="s">
        <v>1179</v>
      </c>
    </row>
    <row r="218" spans="1:12">
      <c r="A218" t="s">
        <v>61</v>
      </c>
      <c r="B218">
        <v>61</v>
      </c>
      <c r="C218" t="s">
        <v>479</v>
      </c>
      <c r="D218">
        <v>10</v>
      </c>
      <c r="E218" s="2" t="s">
        <v>1575</v>
      </c>
      <c r="J218" t="s">
        <v>61</v>
      </c>
      <c r="K218">
        <v>61</v>
      </c>
      <c r="L218" t="s">
        <v>1252</v>
      </c>
    </row>
    <row r="219" spans="1:12">
      <c r="A219" t="s">
        <v>66</v>
      </c>
      <c r="B219">
        <v>45</v>
      </c>
      <c r="C219" t="s">
        <v>479</v>
      </c>
      <c r="D219">
        <v>3</v>
      </c>
      <c r="E219" s="2" t="s">
        <v>1465</v>
      </c>
      <c r="J219" t="s">
        <v>66</v>
      </c>
      <c r="K219">
        <v>45</v>
      </c>
      <c r="L219" t="s">
        <v>1147</v>
      </c>
    </row>
    <row r="220" spans="1:12">
      <c r="A220" t="s">
        <v>71</v>
      </c>
      <c r="B220">
        <v>50</v>
      </c>
      <c r="C220" s="20" t="s">
        <v>1774</v>
      </c>
      <c r="D220">
        <v>9</v>
      </c>
      <c r="E220" s="2" t="s">
        <v>1554</v>
      </c>
      <c r="J220" t="s">
        <v>71</v>
      </c>
      <c r="K220">
        <v>50</v>
      </c>
      <c r="L220" t="s">
        <v>1231</v>
      </c>
    </row>
    <row r="221" spans="1:12">
      <c r="A221" t="s">
        <v>76</v>
      </c>
      <c r="B221">
        <v>47</v>
      </c>
      <c r="C221" t="s">
        <v>479</v>
      </c>
      <c r="D221">
        <v>21</v>
      </c>
      <c r="E221" s="2" t="s">
        <v>1729</v>
      </c>
      <c r="J221" t="s">
        <v>76</v>
      </c>
      <c r="K221">
        <v>47</v>
      </c>
      <c r="L221" t="s">
        <v>1404</v>
      </c>
    </row>
    <row r="222" spans="1:12">
      <c r="A222" t="s">
        <v>81</v>
      </c>
      <c r="B222">
        <v>41</v>
      </c>
      <c r="C222" s="20" t="s">
        <v>1777</v>
      </c>
      <c r="D222">
        <v>16</v>
      </c>
      <c r="E222" s="2" t="s">
        <v>1660</v>
      </c>
      <c r="J222" t="s">
        <v>81</v>
      </c>
      <c r="K222">
        <v>41</v>
      </c>
      <c r="L222" t="s">
        <v>1337</v>
      </c>
    </row>
    <row r="223" spans="1:12">
      <c r="A223" t="s">
        <v>86</v>
      </c>
      <c r="B223">
        <v>66</v>
      </c>
      <c r="C223" t="s">
        <v>479</v>
      </c>
      <c r="D223">
        <v>22</v>
      </c>
      <c r="E223" s="2" t="s">
        <v>1737</v>
      </c>
      <c r="J223" t="s">
        <v>86</v>
      </c>
      <c r="K223">
        <v>66</v>
      </c>
      <c r="L223" t="s">
        <v>1411</v>
      </c>
    </row>
    <row r="224" spans="1:12">
      <c r="A224" t="s">
        <v>91</v>
      </c>
      <c r="B224">
        <v>63</v>
      </c>
      <c r="C224" t="s">
        <v>479</v>
      </c>
      <c r="D224">
        <v>19</v>
      </c>
      <c r="E224" s="2" t="s">
        <v>1696</v>
      </c>
      <c r="J224" t="s">
        <v>91</v>
      </c>
      <c r="K224">
        <v>63</v>
      </c>
      <c r="L224" t="s">
        <v>1371</v>
      </c>
    </row>
    <row r="225" spans="1:14">
      <c r="A225" t="s">
        <v>96</v>
      </c>
      <c r="B225">
        <v>42</v>
      </c>
      <c r="C225" t="s">
        <v>479</v>
      </c>
      <c r="D225">
        <v>22</v>
      </c>
      <c r="E225" s="2" t="s">
        <v>1740</v>
      </c>
      <c r="J225" t="s">
        <v>96</v>
      </c>
      <c r="K225">
        <v>42</v>
      </c>
      <c r="L225" t="s">
        <v>1414</v>
      </c>
    </row>
    <row r="226" spans="1:14" s="1" customFormat="1">
      <c r="A226" t="s">
        <v>16</v>
      </c>
      <c r="B226">
        <v>71</v>
      </c>
      <c r="C226" t="s">
        <v>479</v>
      </c>
      <c r="D226">
        <v>8</v>
      </c>
      <c r="E226" s="2" t="s">
        <v>1548</v>
      </c>
      <c r="F226"/>
      <c r="G226"/>
      <c r="H226"/>
      <c r="I226"/>
      <c r="J226" t="s">
        <v>16</v>
      </c>
      <c r="K226">
        <v>71</v>
      </c>
      <c r="L226" t="s">
        <v>1226</v>
      </c>
      <c r="M226"/>
      <c r="N226" s="5"/>
    </row>
    <row r="227" spans="1:14">
      <c r="A227" t="s">
        <v>101</v>
      </c>
      <c r="B227">
        <v>55</v>
      </c>
      <c r="C227" t="s">
        <v>479</v>
      </c>
      <c r="D227">
        <v>20</v>
      </c>
      <c r="E227" s="2" t="s">
        <v>1709</v>
      </c>
      <c r="J227" t="s">
        <v>101</v>
      </c>
      <c r="K227">
        <v>55</v>
      </c>
      <c r="L227" t="s">
        <v>1384</v>
      </c>
    </row>
    <row r="228" spans="1:14">
      <c r="A228" t="s">
        <v>106</v>
      </c>
      <c r="B228">
        <v>67</v>
      </c>
      <c r="C228" t="s">
        <v>479</v>
      </c>
      <c r="D228">
        <v>1</v>
      </c>
      <c r="E228" s="2" t="s">
        <v>1436</v>
      </c>
      <c r="J228" t="s">
        <v>106</v>
      </c>
      <c r="K228">
        <v>67</v>
      </c>
      <c r="L228" t="s">
        <v>1120</v>
      </c>
    </row>
    <row r="229" spans="1:14">
      <c r="A229" t="s">
        <v>111</v>
      </c>
      <c r="B229">
        <v>51</v>
      </c>
      <c r="C229" t="s">
        <v>479</v>
      </c>
      <c r="D229">
        <v>3</v>
      </c>
      <c r="E229" s="2" t="s">
        <v>1476</v>
      </c>
      <c r="J229" t="s">
        <v>111</v>
      </c>
      <c r="K229">
        <v>51</v>
      </c>
      <c r="L229" t="s">
        <v>1157</v>
      </c>
    </row>
    <row r="230" spans="1:14">
      <c r="A230" t="s">
        <v>127</v>
      </c>
      <c r="B230">
        <v>40</v>
      </c>
      <c r="C230" t="s">
        <v>497</v>
      </c>
      <c r="D230">
        <v>14</v>
      </c>
      <c r="E230" s="2" t="s">
        <v>1623</v>
      </c>
      <c r="J230" t="s">
        <v>127</v>
      </c>
      <c r="K230">
        <v>40</v>
      </c>
      <c r="L230" t="s">
        <v>1300</v>
      </c>
    </row>
    <row r="231" spans="1:14">
      <c r="A231" t="s">
        <v>131</v>
      </c>
      <c r="B231">
        <v>63</v>
      </c>
      <c r="C231" t="s">
        <v>481</v>
      </c>
      <c r="D231">
        <v>22</v>
      </c>
      <c r="E231" s="2" t="s">
        <v>1736</v>
      </c>
      <c r="J231" t="s">
        <v>131</v>
      </c>
      <c r="K231">
        <v>63</v>
      </c>
      <c r="L231" t="s">
        <v>1410</v>
      </c>
    </row>
    <row r="232" spans="1:14">
      <c r="A232" t="s">
        <v>135</v>
      </c>
      <c r="B232">
        <v>14</v>
      </c>
      <c r="C232" t="s">
        <v>483</v>
      </c>
      <c r="D232">
        <v>14</v>
      </c>
      <c r="E232" s="2" t="s">
        <v>1621</v>
      </c>
      <c r="J232" t="s">
        <v>135</v>
      </c>
      <c r="K232">
        <v>14</v>
      </c>
      <c r="L232" t="s">
        <v>1298</v>
      </c>
    </row>
    <row r="233" spans="1:14">
      <c r="A233" t="s">
        <v>139</v>
      </c>
      <c r="B233">
        <v>67</v>
      </c>
      <c r="C233" t="s">
        <v>1771</v>
      </c>
      <c r="D233">
        <v>18</v>
      </c>
      <c r="E233" s="2" t="s">
        <v>1681</v>
      </c>
      <c r="J233" t="s">
        <v>139</v>
      </c>
      <c r="K233">
        <v>67</v>
      </c>
      <c r="L233" t="s">
        <v>1357</v>
      </c>
    </row>
    <row r="234" spans="1:14">
      <c r="A234" t="s">
        <v>21</v>
      </c>
      <c r="B234">
        <v>56</v>
      </c>
      <c r="C234" t="s">
        <v>479</v>
      </c>
      <c r="D234">
        <v>4</v>
      </c>
      <c r="E234" s="2" t="s">
        <v>1485</v>
      </c>
      <c r="J234" t="s">
        <v>21</v>
      </c>
      <c r="K234">
        <v>56</v>
      </c>
      <c r="L234" t="s">
        <v>1164</v>
      </c>
    </row>
    <row r="235" spans="1:14">
      <c r="A235" t="s">
        <v>143</v>
      </c>
      <c r="B235">
        <v>60</v>
      </c>
      <c r="C235" t="s">
        <v>479</v>
      </c>
      <c r="D235">
        <v>19</v>
      </c>
      <c r="E235" s="2" t="s">
        <v>1698</v>
      </c>
      <c r="J235" t="s">
        <v>143</v>
      </c>
      <c r="K235">
        <v>60</v>
      </c>
      <c r="L235" t="s">
        <v>1373</v>
      </c>
    </row>
    <row r="236" spans="1:14">
      <c r="A236" t="s">
        <v>147</v>
      </c>
      <c r="B236">
        <v>40</v>
      </c>
      <c r="C236" s="20" t="s">
        <v>1777</v>
      </c>
      <c r="D236">
        <v>8</v>
      </c>
      <c r="E236" s="2" t="s">
        <v>1542</v>
      </c>
      <c r="J236" t="s">
        <v>147</v>
      </c>
      <c r="K236">
        <v>40</v>
      </c>
      <c r="L236" t="s">
        <v>1220</v>
      </c>
    </row>
    <row r="237" spans="1:14">
      <c r="A237" t="s">
        <v>151</v>
      </c>
      <c r="B237">
        <v>25</v>
      </c>
      <c r="C237" t="s">
        <v>1771</v>
      </c>
      <c r="D237">
        <v>12</v>
      </c>
      <c r="E237" s="2" t="s">
        <v>1605</v>
      </c>
      <c r="J237" t="s">
        <v>151</v>
      </c>
      <c r="K237">
        <v>25</v>
      </c>
      <c r="L237" t="s">
        <v>1282</v>
      </c>
    </row>
    <row r="238" spans="1:14">
      <c r="A238" t="s">
        <v>155</v>
      </c>
      <c r="B238">
        <v>28</v>
      </c>
      <c r="C238" t="s">
        <v>1771</v>
      </c>
      <c r="D238">
        <v>13</v>
      </c>
      <c r="E238" s="2" t="s">
        <v>1620</v>
      </c>
      <c r="J238" t="s">
        <v>155</v>
      </c>
      <c r="K238">
        <v>28</v>
      </c>
      <c r="L238" t="s">
        <v>1297</v>
      </c>
    </row>
    <row r="239" spans="1:14">
      <c r="A239" t="s">
        <v>159</v>
      </c>
      <c r="B239">
        <v>25</v>
      </c>
      <c r="C239" t="s">
        <v>495</v>
      </c>
      <c r="D239">
        <v>4</v>
      </c>
      <c r="E239" s="2" t="s">
        <v>1492</v>
      </c>
      <c r="J239" t="s">
        <v>159</v>
      </c>
      <c r="K239">
        <v>25</v>
      </c>
      <c r="L239" t="s">
        <v>1171</v>
      </c>
    </row>
    <row r="240" spans="1:14">
      <c r="A240" t="s">
        <v>163</v>
      </c>
      <c r="B240">
        <v>44</v>
      </c>
      <c r="C240" t="s">
        <v>479</v>
      </c>
      <c r="D240">
        <v>22</v>
      </c>
      <c r="E240" s="2" t="s">
        <v>1746</v>
      </c>
      <c r="J240" t="s">
        <v>163</v>
      </c>
      <c r="K240">
        <v>44</v>
      </c>
      <c r="L240" t="s">
        <v>1420</v>
      </c>
    </row>
    <row r="241" spans="1:12">
      <c r="A241" t="s">
        <v>167</v>
      </c>
      <c r="B241">
        <v>26</v>
      </c>
      <c r="C241" t="s">
        <v>497</v>
      </c>
      <c r="D241">
        <v>17</v>
      </c>
      <c r="E241" s="2" t="s">
        <v>1675</v>
      </c>
      <c r="J241" t="s">
        <v>167</v>
      </c>
      <c r="K241">
        <v>26</v>
      </c>
      <c r="L241" t="s">
        <v>1351</v>
      </c>
    </row>
    <row r="242" spans="1:12">
      <c r="A242" t="s">
        <v>171</v>
      </c>
      <c r="B242">
        <v>64</v>
      </c>
      <c r="C242" t="s">
        <v>489</v>
      </c>
      <c r="D242">
        <v>17</v>
      </c>
      <c r="E242" s="2" t="s">
        <v>1666</v>
      </c>
      <c r="J242" t="s">
        <v>171</v>
      </c>
      <c r="K242">
        <v>64</v>
      </c>
      <c r="L242" t="s">
        <v>1342</v>
      </c>
    </row>
    <row r="243" spans="1:12">
      <c r="A243" t="s">
        <v>175</v>
      </c>
      <c r="B243">
        <v>51</v>
      </c>
      <c r="C243" t="s">
        <v>479</v>
      </c>
      <c r="D243">
        <v>4</v>
      </c>
      <c r="E243" s="2" t="s">
        <v>1486</v>
      </c>
      <c r="J243" t="s">
        <v>175</v>
      </c>
      <c r="K243">
        <v>51</v>
      </c>
      <c r="L243" t="s">
        <v>1165</v>
      </c>
    </row>
    <row r="244" spans="1:12">
      <c r="A244" t="s">
        <v>179</v>
      </c>
      <c r="B244">
        <v>63</v>
      </c>
      <c r="C244" t="s">
        <v>493</v>
      </c>
      <c r="D244">
        <v>8</v>
      </c>
      <c r="E244" s="2" t="s">
        <v>1545</v>
      </c>
      <c r="J244" t="s">
        <v>179</v>
      </c>
      <c r="K244">
        <v>63</v>
      </c>
      <c r="L244" t="s">
        <v>1223</v>
      </c>
    </row>
    <row r="245" spans="1:12">
      <c r="A245" t="s">
        <v>25</v>
      </c>
      <c r="B245">
        <v>49</v>
      </c>
      <c r="C245" t="s">
        <v>479</v>
      </c>
      <c r="D245">
        <v>20</v>
      </c>
      <c r="E245" s="2" t="s">
        <v>1714</v>
      </c>
      <c r="J245" t="s">
        <v>25</v>
      </c>
      <c r="K245">
        <v>49</v>
      </c>
      <c r="L245" t="s">
        <v>1389</v>
      </c>
    </row>
    <row r="246" spans="1:12">
      <c r="A246" t="s">
        <v>183</v>
      </c>
      <c r="B246">
        <v>63</v>
      </c>
      <c r="C246" t="s">
        <v>479</v>
      </c>
      <c r="D246">
        <v>21</v>
      </c>
      <c r="E246" s="2" t="s">
        <v>1728</v>
      </c>
      <c r="J246" t="s">
        <v>183</v>
      </c>
      <c r="K246">
        <v>63</v>
      </c>
      <c r="L246" t="s">
        <v>1403</v>
      </c>
    </row>
    <row r="247" spans="1:12">
      <c r="A247" t="s">
        <v>187</v>
      </c>
      <c r="B247">
        <v>54</v>
      </c>
      <c r="C247" t="s">
        <v>479</v>
      </c>
      <c r="D247">
        <v>17</v>
      </c>
      <c r="E247" s="2" t="s">
        <v>1667</v>
      </c>
      <c r="J247" t="s">
        <v>187</v>
      </c>
      <c r="K247">
        <v>54</v>
      </c>
      <c r="L247" t="s">
        <v>1343</v>
      </c>
    </row>
    <row r="248" spans="1:12">
      <c r="A248" t="s">
        <v>191</v>
      </c>
      <c r="B248">
        <v>50</v>
      </c>
      <c r="C248" t="s">
        <v>1771</v>
      </c>
      <c r="D248">
        <v>12</v>
      </c>
      <c r="E248" s="2" t="s">
        <v>1601</v>
      </c>
      <c r="J248" t="s">
        <v>191</v>
      </c>
      <c r="K248">
        <v>50</v>
      </c>
      <c r="L248" t="s">
        <v>1278</v>
      </c>
    </row>
    <row r="249" spans="1:12">
      <c r="A249" t="s">
        <v>195</v>
      </c>
      <c r="B249">
        <v>32</v>
      </c>
      <c r="C249" t="s">
        <v>489</v>
      </c>
      <c r="D249">
        <v>7</v>
      </c>
      <c r="E249" s="2" t="s">
        <v>1531</v>
      </c>
      <c r="J249" t="s">
        <v>195</v>
      </c>
      <c r="K249">
        <v>32</v>
      </c>
      <c r="L249" t="s">
        <v>1210</v>
      </c>
    </row>
    <row r="250" spans="1:12">
      <c r="A250" t="s">
        <v>199</v>
      </c>
      <c r="B250">
        <v>65</v>
      </c>
      <c r="C250" t="s">
        <v>479</v>
      </c>
      <c r="D250">
        <v>2</v>
      </c>
      <c r="E250" s="2" t="s">
        <v>1464</v>
      </c>
      <c r="J250" t="s">
        <v>199</v>
      </c>
      <c r="K250">
        <v>65</v>
      </c>
      <c r="L250" t="s">
        <v>1146</v>
      </c>
    </row>
    <row r="251" spans="1:12">
      <c r="A251" t="s">
        <v>203</v>
      </c>
      <c r="B251">
        <v>25</v>
      </c>
      <c r="C251" t="s">
        <v>1771</v>
      </c>
      <c r="D251">
        <v>21</v>
      </c>
      <c r="E251" s="2" t="s">
        <v>1725</v>
      </c>
      <c r="J251" t="s">
        <v>203</v>
      </c>
      <c r="K251">
        <v>25</v>
      </c>
      <c r="L251" t="s">
        <v>1400</v>
      </c>
    </row>
    <row r="252" spans="1:12">
      <c r="A252" t="s">
        <v>207</v>
      </c>
      <c r="B252">
        <v>30</v>
      </c>
      <c r="C252" t="s">
        <v>487</v>
      </c>
      <c r="D252">
        <v>4</v>
      </c>
      <c r="E252" s="2" t="s">
        <v>1493</v>
      </c>
      <c r="J252" t="s">
        <v>207</v>
      </c>
      <c r="K252">
        <v>30</v>
      </c>
      <c r="L252" t="s">
        <v>1172</v>
      </c>
    </row>
    <row r="253" spans="1:12">
      <c r="A253" t="s">
        <v>211</v>
      </c>
      <c r="B253">
        <v>57</v>
      </c>
      <c r="C253" t="s">
        <v>493</v>
      </c>
      <c r="D253">
        <v>22</v>
      </c>
      <c r="E253" s="2" t="s">
        <v>1741</v>
      </c>
      <c r="J253" t="s">
        <v>211</v>
      </c>
      <c r="K253">
        <v>57</v>
      </c>
      <c r="L253" t="s">
        <v>1415</v>
      </c>
    </row>
    <row r="254" spans="1:12">
      <c r="A254" t="s">
        <v>215</v>
      </c>
      <c r="B254">
        <v>68</v>
      </c>
      <c r="C254" t="s">
        <v>479</v>
      </c>
      <c r="D254">
        <v>2</v>
      </c>
      <c r="E254" s="2" t="s">
        <v>1461</v>
      </c>
      <c r="J254" t="s">
        <v>215</v>
      </c>
      <c r="K254">
        <v>68</v>
      </c>
      <c r="L254" t="s">
        <v>1143</v>
      </c>
    </row>
    <row r="255" spans="1:12">
      <c r="A255" t="s">
        <v>219</v>
      </c>
      <c r="B255">
        <v>63</v>
      </c>
      <c r="C255" t="s">
        <v>479</v>
      </c>
      <c r="D255">
        <v>6</v>
      </c>
      <c r="E255" s="2" t="s">
        <v>1509</v>
      </c>
      <c r="J255" t="s">
        <v>219</v>
      </c>
      <c r="K255">
        <v>63</v>
      </c>
      <c r="L255" t="s">
        <v>1188</v>
      </c>
    </row>
    <row r="256" spans="1:12">
      <c r="A256" t="s">
        <v>30</v>
      </c>
      <c r="B256">
        <v>18</v>
      </c>
      <c r="C256" t="s">
        <v>491</v>
      </c>
      <c r="D256">
        <v>12</v>
      </c>
      <c r="E256" s="2" t="s">
        <v>1604</v>
      </c>
      <c r="J256" t="s">
        <v>30</v>
      </c>
      <c r="K256">
        <v>18</v>
      </c>
      <c r="L256" t="s">
        <v>1281</v>
      </c>
    </row>
    <row r="257" spans="1:12">
      <c r="A257" t="s">
        <v>223</v>
      </c>
      <c r="B257">
        <v>37</v>
      </c>
      <c r="C257" t="s">
        <v>1771</v>
      </c>
      <c r="D257">
        <v>10</v>
      </c>
      <c r="E257" s="2" t="s">
        <v>1566</v>
      </c>
      <c r="J257" t="s">
        <v>223</v>
      </c>
      <c r="K257">
        <v>37</v>
      </c>
      <c r="L257" t="s">
        <v>1243</v>
      </c>
    </row>
    <row r="258" spans="1:12">
      <c r="A258" t="s">
        <v>227</v>
      </c>
      <c r="B258">
        <v>15</v>
      </c>
      <c r="C258" t="s">
        <v>1771</v>
      </c>
      <c r="D258">
        <v>18</v>
      </c>
      <c r="E258" s="2" t="s">
        <v>1685</v>
      </c>
      <c r="J258" t="s">
        <v>227</v>
      </c>
      <c r="K258">
        <v>15</v>
      </c>
      <c r="L258" t="s">
        <v>1361</v>
      </c>
    </row>
    <row r="259" spans="1:12">
      <c r="A259" t="s">
        <v>231</v>
      </c>
      <c r="B259">
        <v>42</v>
      </c>
      <c r="C259" t="s">
        <v>489</v>
      </c>
      <c r="D259">
        <v>9</v>
      </c>
      <c r="E259" s="2" t="s">
        <v>1552</v>
      </c>
      <c r="J259" t="s">
        <v>231</v>
      </c>
      <c r="K259">
        <v>42</v>
      </c>
      <c r="L259" t="s">
        <v>1229</v>
      </c>
    </row>
    <row r="260" spans="1:12">
      <c r="A260" t="s">
        <v>235</v>
      </c>
      <c r="B260">
        <v>40</v>
      </c>
      <c r="C260" t="s">
        <v>497</v>
      </c>
      <c r="D260">
        <v>2</v>
      </c>
      <c r="E260" s="2" t="s">
        <v>1459</v>
      </c>
      <c r="J260" t="s">
        <v>235</v>
      </c>
      <c r="K260">
        <v>40</v>
      </c>
      <c r="L260" t="s">
        <v>1141</v>
      </c>
    </row>
    <row r="261" spans="1:12">
      <c r="A261" t="s">
        <v>239</v>
      </c>
      <c r="B261">
        <v>51</v>
      </c>
      <c r="C261" t="s">
        <v>479</v>
      </c>
      <c r="D261">
        <v>7</v>
      </c>
      <c r="E261" s="2" t="s">
        <v>1533</v>
      </c>
      <c r="J261" t="s">
        <v>239</v>
      </c>
      <c r="K261">
        <v>51</v>
      </c>
      <c r="L261" t="s">
        <v>1212</v>
      </c>
    </row>
    <row r="262" spans="1:12">
      <c r="A262" t="s">
        <v>243</v>
      </c>
      <c r="B262">
        <v>47</v>
      </c>
      <c r="C262" s="20" t="s">
        <v>1777</v>
      </c>
      <c r="D262">
        <v>11</v>
      </c>
      <c r="E262" s="2" t="s">
        <v>1587</v>
      </c>
      <c r="J262" t="s">
        <v>243</v>
      </c>
      <c r="K262">
        <v>47</v>
      </c>
      <c r="L262" t="s">
        <v>1264</v>
      </c>
    </row>
    <row r="263" spans="1:12">
      <c r="A263" t="s">
        <v>247</v>
      </c>
      <c r="B263">
        <v>64</v>
      </c>
      <c r="C263" t="s">
        <v>479</v>
      </c>
      <c r="D263">
        <v>1</v>
      </c>
      <c r="E263" s="2" t="s">
        <v>1438</v>
      </c>
      <c r="J263" t="s">
        <v>247</v>
      </c>
      <c r="K263">
        <v>64</v>
      </c>
      <c r="L263" t="s">
        <v>1121</v>
      </c>
    </row>
    <row r="264" spans="1:12">
      <c r="A264" t="s">
        <v>251</v>
      </c>
      <c r="B264">
        <v>69</v>
      </c>
      <c r="C264" s="20" t="s">
        <v>1777</v>
      </c>
      <c r="D264">
        <v>4</v>
      </c>
      <c r="E264" s="2" t="s">
        <v>1494</v>
      </c>
      <c r="J264" t="s">
        <v>251</v>
      </c>
      <c r="K264">
        <v>69</v>
      </c>
      <c r="L264" t="s">
        <v>1173</v>
      </c>
    </row>
    <row r="265" spans="1:12">
      <c r="A265" t="s">
        <v>255</v>
      </c>
      <c r="B265">
        <v>63</v>
      </c>
      <c r="C265" t="s">
        <v>479</v>
      </c>
      <c r="D265">
        <v>16</v>
      </c>
      <c r="E265" s="2" t="s">
        <v>1657</v>
      </c>
      <c r="J265" t="s">
        <v>255</v>
      </c>
      <c r="K265">
        <v>63</v>
      </c>
      <c r="L265" t="s">
        <v>1334</v>
      </c>
    </row>
    <row r="266" spans="1:12">
      <c r="A266" t="s">
        <v>259</v>
      </c>
      <c r="B266">
        <v>41</v>
      </c>
      <c r="C266" t="s">
        <v>1771</v>
      </c>
      <c r="D266">
        <v>1</v>
      </c>
      <c r="E266" s="2" t="s">
        <v>1442</v>
      </c>
      <c r="J266" t="s">
        <v>259</v>
      </c>
      <c r="K266">
        <v>41</v>
      </c>
      <c r="L266" t="s">
        <v>1125</v>
      </c>
    </row>
    <row r="267" spans="1:12">
      <c r="A267" t="s">
        <v>263</v>
      </c>
      <c r="B267">
        <v>65</v>
      </c>
      <c r="C267" t="s">
        <v>479</v>
      </c>
      <c r="D267">
        <v>4</v>
      </c>
      <c r="E267" s="2" t="s">
        <v>1488</v>
      </c>
      <c r="J267" t="s">
        <v>263</v>
      </c>
      <c r="K267">
        <v>65</v>
      </c>
      <c r="L267" t="s">
        <v>1167</v>
      </c>
    </row>
    <row r="268" spans="1:12">
      <c r="A268" t="s">
        <v>267</v>
      </c>
      <c r="B268">
        <v>32</v>
      </c>
      <c r="C268" t="s">
        <v>1771</v>
      </c>
      <c r="D268">
        <v>13</v>
      </c>
      <c r="E268" s="2" t="s">
        <v>1609</v>
      </c>
      <c r="J268" t="s">
        <v>267</v>
      </c>
      <c r="K268">
        <v>32</v>
      </c>
      <c r="L268" t="s">
        <v>1286</v>
      </c>
    </row>
    <row r="269" spans="1:12">
      <c r="A269" t="s">
        <v>271</v>
      </c>
      <c r="B269">
        <v>54</v>
      </c>
      <c r="C269" t="s">
        <v>479</v>
      </c>
      <c r="D269">
        <v>7</v>
      </c>
      <c r="E269" s="2" t="s">
        <v>1535</v>
      </c>
      <c r="J269" t="s">
        <v>271</v>
      </c>
      <c r="K269">
        <v>54</v>
      </c>
      <c r="L269" t="s">
        <v>1214</v>
      </c>
    </row>
    <row r="270" spans="1:12">
      <c r="A270" t="s">
        <v>275</v>
      </c>
      <c r="B270">
        <v>43</v>
      </c>
      <c r="C270" t="s">
        <v>479</v>
      </c>
      <c r="D270">
        <v>17</v>
      </c>
      <c r="E270" s="2" t="s">
        <v>1669</v>
      </c>
      <c r="J270" t="s">
        <v>275</v>
      </c>
      <c r="K270">
        <v>43</v>
      </c>
      <c r="L270" t="s">
        <v>1345</v>
      </c>
    </row>
    <row r="271" spans="1:12">
      <c r="A271" t="s">
        <v>279</v>
      </c>
      <c r="B271">
        <v>61</v>
      </c>
      <c r="C271" t="s">
        <v>483</v>
      </c>
      <c r="D271">
        <v>7</v>
      </c>
      <c r="E271" s="2" t="s">
        <v>1529</v>
      </c>
      <c r="J271" t="s">
        <v>279</v>
      </c>
      <c r="K271">
        <v>61</v>
      </c>
      <c r="L271" t="s">
        <v>1208</v>
      </c>
    </row>
    <row r="272" spans="1:12">
      <c r="A272" t="s">
        <v>283</v>
      </c>
      <c r="B272">
        <v>62</v>
      </c>
      <c r="C272" t="s">
        <v>493</v>
      </c>
      <c r="D272">
        <v>20</v>
      </c>
      <c r="E272" s="2" t="s">
        <v>1716</v>
      </c>
      <c r="J272" t="s">
        <v>283</v>
      </c>
      <c r="K272">
        <v>62</v>
      </c>
      <c r="L272" t="s">
        <v>1391</v>
      </c>
    </row>
    <row r="273" spans="1:12">
      <c r="A273" t="s">
        <v>287</v>
      </c>
      <c r="B273">
        <v>55</v>
      </c>
      <c r="C273" t="s">
        <v>479</v>
      </c>
      <c r="D273">
        <v>12</v>
      </c>
      <c r="E273" s="2" t="s">
        <v>1599</v>
      </c>
      <c r="J273" t="s">
        <v>287</v>
      </c>
      <c r="K273">
        <v>55</v>
      </c>
      <c r="L273" t="s">
        <v>1276</v>
      </c>
    </row>
    <row r="274" spans="1:12">
      <c r="A274" t="s">
        <v>291</v>
      </c>
      <c r="B274">
        <v>19</v>
      </c>
      <c r="C274" t="s">
        <v>493</v>
      </c>
      <c r="D274">
        <v>10</v>
      </c>
      <c r="E274" s="2" t="s">
        <v>1571</v>
      </c>
      <c r="J274" t="s">
        <v>291</v>
      </c>
      <c r="K274">
        <v>19</v>
      </c>
      <c r="L274" t="s">
        <v>1248</v>
      </c>
    </row>
    <row r="275" spans="1:12">
      <c r="A275" t="s">
        <v>295</v>
      </c>
      <c r="B275">
        <v>51</v>
      </c>
      <c r="C275" t="s">
        <v>479</v>
      </c>
      <c r="D275">
        <v>15</v>
      </c>
      <c r="E275" s="2" t="s">
        <v>1642</v>
      </c>
      <c r="J275" t="s">
        <v>295</v>
      </c>
      <c r="K275">
        <v>51</v>
      </c>
      <c r="L275" t="s">
        <v>1319</v>
      </c>
    </row>
    <row r="276" spans="1:12">
      <c r="A276" t="s">
        <v>299</v>
      </c>
      <c r="B276">
        <v>63</v>
      </c>
      <c r="C276" t="s">
        <v>479</v>
      </c>
      <c r="D276">
        <v>15</v>
      </c>
      <c r="E276" s="2" t="s">
        <v>1646</v>
      </c>
      <c r="J276" t="s">
        <v>299</v>
      </c>
      <c r="K276">
        <v>63</v>
      </c>
      <c r="L276" t="s">
        <v>1323</v>
      </c>
    </row>
    <row r="277" spans="1:12">
      <c r="A277" t="s">
        <v>37</v>
      </c>
      <c r="B277">
        <v>66</v>
      </c>
      <c r="C277" t="s">
        <v>479</v>
      </c>
      <c r="D277">
        <v>7</v>
      </c>
      <c r="E277" s="2" t="s">
        <v>1524</v>
      </c>
      <c r="J277" t="s">
        <v>37</v>
      </c>
      <c r="K277">
        <v>66</v>
      </c>
      <c r="L277" t="s">
        <v>1203</v>
      </c>
    </row>
    <row r="278" spans="1:12">
      <c r="A278" t="s">
        <v>303</v>
      </c>
      <c r="B278">
        <v>31</v>
      </c>
      <c r="C278" t="s">
        <v>483</v>
      </c>
      <c r="D278">
        <v>3</v>
      </c>
      <c r="E278" s="2" t="s">
        <v>1475</v>
      </c>
      <c r="J278" t="s">
        <v>303</v>
      </c>
      <c r="K278">
        <v>31</v>
      </c>
      <c r="L278" t="s">
        <v>1156</v>
      </c>
    </row>
    <row r="279" spans="1:12">
      <c r="A279" t="s">
        <v>307</v>
      </c>
      <c r="B279">
        <v>50</v>
      </c>
      <c r="C279" t="s">
        <v>479</v>
      </c>
      <c r="D279">
        <v>3</v>
      </c>
      <c r="E279" s="2" t="s">
        <v>1471</v>
      </c>
      <c r="J279" t="s">
        <v>307</v>
      </c>
      <c r="K279">
        <v>50</v>
      </c>
      <c r="L279" t="s">
        <v>1153</v>
      </c>
    </row>
    <row r="280" spans="1:12">
      <c r="A280" t="s">
        <v>311</v>
      </c>
      <c r="B280">
        <v>52</v>
      </c>
      <c r="C280" t="s">
        <v>1771</v>
      </c>
      <c r="D280">
        <v>20</v>
      </c>
      <c r="E280" s="2" t="s">
        <v>1705</v>
      </c>
      <c r="J280" t="s">
        <v>311</v>
      </c>
      <c r="K280">
        <v>52</v>
      </c>
      <c r="L280" t="s">
        <v>1380</v>
      </c>
    </row>
    <row r="281" spans="1:12">
      <c r="A281" t="s">
        <v>315</v>
      </c>
      <c r="B281">
        <v>50</v>
      </c>
      <c r="C281" s="20" t="s">
        <v>1778</v>
      </c>
      <c r="D281">
        <v>15</v>
      </c>
      <c r="E281" s="2" t="s">
        <v>1636</v>
      </c>
      <c r="J281" t="s">
        <v>315</v>
      </c>
      <c r="K281">
        <v>50</v>
      </c>
      <c r="L281" t="s">
        <v>1313</v>
      </c>
    </row>
    <row r="282" spans="1:12">
      <c r="A282" t="s">
        <v>319</v>
      </c>
      <c r="B282">
        <v>36</v>
      </c>
      <c r="C282" t="s">
        <v>1771</v>
      </c>
      <c r="D282">
        <v>15</v>
      </c>
      <c r="E282" s="2" t="s">
        <v>1640</v>
      </c>
      <c r="J282" t="s">
        <v>319</v>
      </c>
      <c r="K282">
        <v>36</v>
      </c>
      <c r="L282" t="s">
        <v>1317</v>
      </c>
    </row>
    <row r="283" spans="1:12">
      <c r="A283" t="s">
        <v>323</v>
      </c>
      <c r="B283">
        <v>51</v>
      </c>
      <c r="C283" t="s">
        <v>481</v>
      </c>
      <c r="D283">
        <v>1</v>
      </c>
      <c r="E283" s="2" t="s">
        <v>1443</v>
      </c>
      <c r="J283" t="s">
        <v>323</v>
      </c>
      <c r="K283">
        <v>51</v>
      </c>
      <c r="L283" t="s">
        <v>1126</v>
      </c>
    </row>
    <row r="284" spans="1:12">
      <c r="A284" t="s">
        <v>327</v>
      </c>
      <c r="B284">
        <v>48</v>
      </c>
      <c r="C284" t="s">
        <v>479</v>
      </c>
      <c r="D284">
        <v>18</v>
      </c>
      <c r="E284" s="2" t="s">
        <v>1683</v>
      </c>
      <c r="J284" t="s">
        <v>327</v>
      </c>
      <c r="K284">
        <v>48</v>
      </c>
      <c r="L284" t="s">
        <v>1359</v>
      </c>
    </row>
    <row r="285" spans="1:12">
      <c r="A285" t="s">
        <v>331</v>
      </c>
      <c r="B285">
        <v>56</v>
      </c>
      <c r="C285" t="s">
        <v>1771</v>
      </c>
      <c r="D285">
        <v>9</v>
      </c>
      <c r="E285" s="2" t="s">
        <v>1563</v>
      </c>
      <c r="J285" t="s">
        <v>331</v>
      </c>
      <c r="K285">
        <v>56</v>
      </c>
      <c r="L285" t="s">
        <v>1240</v>
      </c>
    </row>
    <row r="286" spans="1:12">
      <c r="A286" t="s">
        <v>335</v>
      </c>
      <c r="B286">
        <v>35</v>
      </c>
      <c r="C286" t="s">
        <v>1771</v>
      </c>
      <c r="D286">
        <v>6</v>
      </c>
      <c r="E286" s="2" t="s">
        <v>1518</v>
      </c>
      <c r="J286" t="s">
        <v>335</v>
      </c>
      <c r="K286">
        <v>35</v>
      </c>
      <c r="L286" t="s">
        <v>1197</v>
      </c>
    </row>
    <row r="287" spans="1:12">
      <c r="A287" t="s">
        <v>339</v>
      </c>
      <c r="B287">
        <v>41</v>
      </c>
      <c r="C287" t="s">
        <v>479</v>
      </c>
      <c r="D287">
        <v>12</v>
      </c>
      <c r="E287" s="2" t="s">
        <v>1600</v>
      </c>
      <c r="J287" t="s">
        <v>339</v>
      </c>
      <c r="K287">
        <v>41</v>
      </c>
      <c r="L287" t="s">
        <v>1277</v>
      </c>
    </row>
    <row r="288" spans="1:12">
      <c r="A288" t="s">
        <v>343</v>
      </c>
      <c r="B288">
        <v>59</v>
      </c>
      <c r="C288" t="s">
        <v>479</v>
      </c>
      <c r="D288">
        <v>11</v>
      </c>
      <c r="E288" s="2" t="s">
        <v>1592</v>
      </c>
      <c r="J288" t="s">
        <v>343</v>
      </c>
      <c r="K288">
        <v>59</v>
      </c>
      <c r="L288" t="s">
        <v>1269</v>
      </c>
    </row>
    <row r="289" spans="1:12">
      <c r="A289" t="s">
        <v>347</v>
      </c>
      <c r="B289">
        <v>51</v>
      </c>
      <c r="C289" t="s">
        <v>479</v>
      </c>
      <c r="D289">
        <v>6</v>
      </c>
      <c r="E289" s="2" t="s">
        <v>1512</v>
      </c>
      <c r="J289" t="s">
        <v>347</v>
      </c>
      <c r="K289">
        <v>51</v>
      </c>
      <c r="L289" t="s">
        <v>1191</v>
      </c>
    </row>
    <row r="290" spans="1:12">
      <c r="A290" t="s">
        <v>351</v>
      </c>
      <c r="B290">
        <v>48</v>
      </c>
      <c r="C290" t="s">
        <v>479</v>
      </c>
      <c r="D290">
        <v>11</v>
      </c>
      <c r="E290" s="2" t="s">
        <v>1585</v>
      </c>
      <c r="J290" t="s">
        <v>351</v>
      </c>
      <c r="K290">
        <v>48</v>
      </c>
      <c r="L290" t="s">
        <v>1262</v>
      </c>
    </row>
    <row r="291" spans="1:12">
      <c r="A291" t="s">
        <v>355</v>
      </c>
      <c r="B291">
        <v>67</v>
      </c>
      <c r="C291" s="20" t="s">
        <v>1778</v>
      </c>
      <c r="D291">
        <v>14</v>
      </c>
      <c r="E291" s="2" t="s">
        <v>1624</v>
      </c>
      <c r="J291" t="s">
        <v>355</v>
      </c>
      <c r="K291">
        <v>67</v>
      </c>
      <c r="L291" t="s">
        <v>1301</v>
      </c>
    </row>
    <row r="292" spans="1:12">
      <c r="A292" t="s">
        <v>359</v>
      </c>
      <c r="B292">
        <v>65</v>
      </c>
      <c r="C292" t="s">
        <v>479</v>
      </c>
      <c r="D292">
        <v>18</v>
      </c>
      <c r="E292" s="2" t="s">
        <v>1677</v>
      </c>
      <c r="J292" t="s">
        <v>359</v>
      </c>
      <c r="K292">
        <v>65</v>
      </c>
      <c r="L292" t="s">
        <v>1353</v>
      </c>
    </row>
    <row r="293" spans="1:12">
      <c r="A293" t="s">
        <v>363</v>
      </c>
      <c r="B293">
        <v>56</v>
      </c>
      <c r="C293" t="s">
        <v>489</v>
      </c>
      <c r="D293">
        <v>16</v>
      </c>
      <c r="E293" s="2" t="s">
        <v>1649</v>
      </c>
      <c r="J293" t="s">
        <v>363</v>
      </c>
      <c r="K293">
        <v>56</v>
      </c>
      <c r="L293" t="s">
        <v>1326</v>
      </c>
    </row>
    <row r="294" spans="1:12">
      <c r="A294" t="s">
        <v>367</v>
      </c>
      <c r="B294">
        <v>71</v>
      </c>
      <c r="C294" t="s">
        <v>481</v>
      </c>
      <c r="D294">
        <v>16</v>
      </c>
      <c r="E294" s="2" t="s">
        <v>1661</v>
      </c>
      <c r="J294" t="s">
        <v>367</v>
      </c>
      <c r="K294">
        <v>71</v>
      </c>
      <c r="L294" t="s">
        <v>1338</v>
      </c>
    </row>
    <row r="295" spans="1:12">
      <c r="A295" t="s">
        <v>371</v>
      </c>
      <c r="B295">
        <v>42</v>
      </c>
      <c r="C295" t="s">
        <v>479</v>
      </c>
      <c r="D295">
        <v>5</v>
      </c>
      <c r="E295" s="2" t="s">
        <v>1506</v>
      </c>
      <c r="J295" t="s">
        <v>371</v>
      </c>
      <c r="K295">
        <v>42</v>
      </c>
      <c r="L295" t="s">
        <v>1185</v>
      </c>
    </row>
    <row r="296" spans="1:12">
      <c r="A296" t="s">
        <v>375</v>
      </c>
      <c r="B296">
        <v>74</v>
      </c>
      <c r="C296" t="s">
        <v>497</v>
      </c>
      <c r="D296">
        <v>14</v>
      </c>
      <c r="E296" s="2" t="s">
        <v>1631</v>
      </c>
      <c r="J296" t="s">
        <v>375</v>
      </c>
      <c r="K296">
        <v>74</v>
      </c>
      <c r="L296" t="s">
        <v>1308</v>
      </c>
    </row>
    <row r="297" spans="1:12">
      <c r="A297" t="s">
        <v>379</v>
      </c>
      <c r="B297">
        <v>46</v>
      </c>
      <c r="C297" t="s">
        <v>1771</v>
      </c>
      <c r="D297">
        <v>19</v>
      </c>
      <c r="E297" s="2" t="s">
        <v>1697</v>
      </c>
      <c r="J297" t="s">
        <v>379</v>
      </c>
      <c r="K297">
        <v>46</v>
      </c>
      <c r="L297" t="s">
        <v>1372</v>
      </c>
    </row>
    <row r="298" spans="1:12">
      <c r="A298" t="s">
        <v>46</v>
      </c>
      <c r="B298">
        <v>53</v>
      </c>
      <c r="C298" t="s">
        <v>489</v>
      </c>
      <c r="D298">
        <v>12</v>
      </c>
      <c r="E298" s="2" t="s">
        <v>1596</v>
      </c>
      <c r="J298" t="s">
        <v>46</v>
      </c>
      <c r="K298">
        <v>53</v>
      </c>
      <c r="L298" t="s">
        <v>1273</v>
      </c>
    </row>
    <row r="299" spans="1:12">
      <c r="A299" t="s">
        <v>383</v>
      </c>
      <c r="B299">
        <v>57</v>
      </c>
      <c r="C299" t="s">
        <v>499</v>
      </c>
      <c r="D299">
        <v>12</v>
      </c>
      <c r="E299" s="2" t="s">
        <v>1602</v>
      </c>
      <c r="J299" t="s">
        <v>383</v>
      </c>
      <c r="K299">
        <v>57</v>
      </c>
      <c r="L299" t="s">
        <v>1279</v>
      </c>
    </row>
    <row r="300" spans="1:12">
      <c r="A300" t="s">
        <v>387</v>
      </c>
      <c r="B300">
        <v>55</v>
      </c>
      <c r="C300" t="s">
        <v>489</v>
      </c>
      <c r="D300">
        <v>11</v>
      </c>
      <c r="E300" s="2" t="s">
        <v>1583</v>
      </c>
      <c r="J300" t="s">
        <v>387</v>
      </c>
      <c r="K300">
        <v>55</v>
      </c>
      <c r="L300" t="s">
        <v>1260</v>
      </c>
    </row>
    <row r="301" spans="1:12">
      <c r="A301" t="s">
        <v>391</v>
      </c>
      <c r="B301">
        <v>67</v>
      </c>
      <c r="C301" t="s">
        <v>479</v>
      </c>
      <c r="D301">
        <v>9</v>
      </c>
      <c r="E301" s="2" t="s">
        <v>1560</v>
      </c>
      <c r="J301" t="s">
        <v>391</v>
      </c>
      <c r="K301">
        <v>67</v>
      </c>
      <c r="L301" t="s">
        <v>1237</v>
      </c>
    </row>
    <row r="302" spans="1:12">
      <c r="A302" t="s">
        <v>395</v>
      </c>
      <c r="B302">
        <v>69</v>
      </c>
      <c r="C302" t="s">
        <v>499</v>
      </c>
      <c r="D302">
        <v>5</v>
      </c>
      <c r="E302" s="2" t="s">
        <v>1502</v>
      </c>
      <c r="J302" t="s">
        <v>395</v>
      </c>
      <c r="K302">
        <v>69</v>
      </c>
      <c r="L302" t="s">
        <v>1181</v>
      </c>
    </row>
    <row r="303" spans="1:12">
      <c r="A303" t="s">
        <v>399</v>
      </c>
      <c r="B303">
        <v>59</v>
      </c>
      <c r="C303" t="s">
        <v>479</v>
      </c>
      <c r="D303">
        <v>13</v>
      </c>
      <c r="E303" s="2" t="s">
        <v>1613</v>
      </c>
      <c r="J303" t="s">
        <v>399</v>
      </c>
      <c r="K303">
        <v>59</v>
      </c>
      <c r="L303" t="s">
        <v>1290</v>
      </c>
    </row>
    <row r="304" spans="1:12">
      <c r="A304" t="s">
        <v>403</v>
      </c>
      <c r="B304">
        <v>50</v>
      </c>
      <c r="C304" t="s">
        <v>479</v>
      </c>
      <c r="D304">
        <v>8</v>
      </c>
      <c r="E304" s="2" t="s">
        <v>1547</v>
      </c>
      <c r="J304" t="s">
        <v>403</v>
      </c>
      <c r="K304">
        <v>50</v>
      </c>
      <c r="L304" t="s">
        <v>1225</v>
      </c>
    </row>
    <row r="305" spans="1:15">
      <c r="A305" t="s">
        <v>411</v>
      </c>
      <c r="B305">
        <v>56</v>
      </c>
      <c r="C305" t="s">
        <v>479</v>
      </c>
      <c r="D305">
        <v>15</v>
      </c>
      <c r="E305" s="2" t="s">
        <v>1637</v>
      </c>
      <c r="J305" t="s">
        <v>411</v>
      </c>
      <c r="K305">
        <v>56</v>
      </c>
      <c r="L305" t="s">
        <v>1314</v>
      </c>
    </row>
    <row r="306" spans="1:15">
      <c r="A306" t="s">
        <v>419</v>
      </c>
      <c r="B306">
        <v>51</v>
      </c>
      <c r="C306" t="s">
        <v>479</v>
      </c>
      <c r="D306">
        <v>10</v>
      </c>
      <c r="E306" s="2" t="s">
        <v>1567</v>
      </c>
      <c r="J306" t="s">
        <v>419</v>
      </c>
      <c r="K306">
        <v>51</v>
      </c>
      <c r="L306" t="s">
        <v>1244</v>
      </c>
    </row>
    <row r="307" spans="1:15">
      <c r="A307" s="1" t="s">
        <v>279</v>
      </c>
      <c r="B307" s="1"/>
      <c r="C307" s="1" t="s">
        <v>483</v>
      </c>
      <c r="D307" s="1"/>
      <c r="E307" s="5" t="s">
        <v>1536</v>
      </c>
      <c r="F307" s="1"/>
      <c r="G307" s="1"/>
      <c r="H307" s="1"/>
      <c r="I307" s="1"/>
      <c r="J307" s="1" t="s">
        <v>279</v>
      </c>
      <c r="K307" s="1">
        <v>61</v>
      </c>
      <c r="L307" s="1" t="s">
        <v>1767</v>
      </c>
      <c r="M307" s="1" t="s">
        <v>1768</v>
      </c>
      <c r="O307">
        <v>1</v>
      </c>
    </row>
    <row r="308" spans="1:15">
      <c r="A308" s="1" t="s">
        <v>686</v>
      </c>
      <c r="B308" s="1"/>
      <c r="C308" s="1" t="s">
        <v>1118</v>
      </c>
      <c r="D308" s="1"/>
      <c r="E308" s="5"/>
      <c r="F308" s="1"/>
      <c r="G308" s="1"/>
      <c r="H308" s="1"/>
      <c r="I308" s="1"/>
      <c r="J308" s="1" t="s">
        <v>686</v>
      </c>
      <c r="K308" s="1">
        <v>47</v>
      </c>
      <c r="L308" s="1" t="s">
        <v>1769</v>
      </c>
      <c r="M308" s="1" t="s">
        <v>1770</v>
      </c>
      <c r="O308">
        <v>1</v>
      </c>
    </row>
  </sheetData>
  <sortState xmlns:xlrd2="http://schemas.microsoft.com/office/spreadsheetml/2017/richdata2" ref="A2:M310">
    <sortCondition ref="A2:A310"/>
  </sortState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1</vt:i4>
      </vt:variant>
    </vt:vector>
  </HeadingPairs>
  <TitlesOfParts>
    <vt:vector size="8" baseType="lpstr">
      <vt:lpstr>癌</vt:lpstr>
      <vt:lpstr>训练集亚型</vt:lpstr>
      <vt:lpstr>囊肿</vt:lpstr>
      <vt:lpstr>健康</vt:lpstr>
      <vt:lpstr>all</vt:lpstr>
      <vt:lpstr>batch_design</vt:lpstr>
      <vt:lpstr>机器学习</vt:lpstr>
      <vt:lpstr>batch_design!Print_Area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Chengcai Zheng</cp:lastModifiedBy>
  <cp:lastPrinted>2022-12-02T09:24:00Z</cp:lastPrinted>
  <dcterms:created xsi:type="dcterms:W3CDTF">2022-09-26T05:26:00Z</dcterms:created>
  <dcterms:modified xsi:type="dcterms:W3CDTF">2024-04-01T14:07:17Z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9D949E74876744F5BE801DEB34CD373E_12</vt:lpwstr>
  </property>
  <property fmtid="{D5CDD505-2E9C-101B-9397-08002B2CF9AE}" pid="3" name="KSOProductBuildVer">
    <vt:lpwstr>2052-12.1.0.16417</vt:lpwstr>
  </property>
</Properties>
</file>